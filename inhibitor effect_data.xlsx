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3"/>
  <workbookPr/>
  <mc:AlternateContent xmlns:mc="http://schemas.openxmlformats.org/markup-compatibility/2006">
    <mc:Choice Requires="x15">
      <x15ac:absPath xmlns:x15ac="http://schemas.microsoft.com/office/spreadsheetml/2010/11/ac" url="C:\Users\shihy\Desktop\"/>
    </mc:Choice>
  </mc:AlternateContent>
  <xr:revisionPtr revIDLastSave="0" documentId="8_{C4DB2207-3DF9-4A5D-A086-A2413908F1D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工作表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2" i="1" l="1"/>
  <c r="F42" i="1"/>
  <c r="E43" i="1"/>
  <c r="F43" i="1"/>
  <c r="E44" i="1"/>
  <c r="F44" i="1"/>
  <c r="E45" i="1"/>
  <c r="F45" i="1"/>
  <c r="E46" i="1"/>
  <c r="F46" i="1"/>
  <c r="M28" i="1"/>
  <c r="M29" i="1"/>
  <c r="M30" i="1"/>
  <c r="M31" i="1"/>
  <c r="M32" i="1"/>
  <c r="M33" i="1"/>
  <c r="M34" i="1"/>
  <c r="M35" i="1"/>
  <c r="M36" i="1"/>
  <c r="M37" i="1"/>
  <c r="M23" i="1"/>
  <c r="M24" i="1"/>
  <c r="M25" i="1"/>
  <c r="M26" i="1"/>
  <c r="M27" i="1"/>
  <c r="M22" i="1"/>
  <c r="M21" i="1"/>
  <c r="M20" i="1"/>
  <c r="M19" i="1"/>
  <c r="M18" i="1"/>
  <c r="M14" i="1"/>
  <c r="M15" i="1"/>
  <c r="M16" i="1"/>
  <c r="M17" i="1"/>
  <c r="M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13" i="1"/>
  <c r="J19" i="1"/>
  <c r="J14" i="1"/>
  <c r="J15" i="1"/>
  <c r="J16" i="1"/>
  <c r="J17" i="1"/>
  <c r="J18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13" i="1"/>
</calcChain>
</file>

<file path=xl/sharedStrings.xml><?xml version="1.0" encoding="utf-8"?>
<sst xmlns="http://schemas.openxmlformats.org/spreadsheetml/2006/main" count="41" uniqueCount="41">
  <si>
    <t>抑制劑</t>
    <phoneticPr fontId="1" type="noConversion"/>
  </si>
  <si>
    <t>速率斜率</t>
  </si>
  <si>
    <t>速率 (μ mole/minute)</t>
  </si>
  <si>
    <t>速率倒數</t>
  </si>
  <si>
    <t>PNPP濃度標示 (μM)</t>
  </si>
  <si>
    <t>PNPP濃度倒數</t>
  </si>
  <si>
    <t>A1</t>
    <phoneticPr fontId="1" type="noConversion"/>
  </si>
  <si>
    <t>A2</t>
    <phoneticPr fontId="1" type="noConversion"/>
  </si>
  <si>
    <t>A3</t>
  </si>
  <si>
    <t>A4</t>
  </si>
  <si>
    <t>A5</t>
  </si>
  <si>
    <t>B1</t>
    <phoneticPr fontId="1" type="noConversion"/>
  </si>
  <si>
    <t>B2</t>
    <phoneticPr fontId="1" type="noConversion"/>
  </si>
  <si>
    <t>B3</t>
  </si>
  <si>
    <t>B4</t>
  </si>
  <si>
    <t>B5</t>
  </si>
  <si>
    <t>C1</t>
    <phoneticPr fontId="1" type="noConversion"/>
  </si>
  <si>
    <t>C2</t>
    <phoneticPr fontId="1" type="noConversion"/>
  </si>
  <si>
    <t>C3</t>
  </si>
  <si>
    <t>C4</t>
  </si>
  <si>
    <t>C5</t>
    <phoneticPr fontId="1" type="noConversion"/>
  </si>
  <si>
    <t>D1</t>
    <phoneticPr fontId="1" type="noConversion"/>
  </si>
  <si>
    <t>D2</t>
    <phoneticPr fontId="1" type="noConversion"/>
  </si>
  <si>
    <t>D3</t>
  </si>
  <si>
    <t>D4</t>
  </si>
  <si>
    <t>D5</t>
  </si>
  <si>
    <t>E1</t>
    <phoneticPr fontId="1" type="noConversion"/>
  </si>
  <si>
    <t>E2</t>
    <phoneticPr fontId="1" type="noConversion"/>
  </si>
  <si>
    <t>E3</t>
  </si>
  <si>
    <t>E4</t>
  </si>
  <si>
    <t>E5</t>
  </si>
  <si>
    <t>抑制物濃度 (μM)</t>
  </si>
  <si>
    <t>截距 (b)</t>
  </si>
  <si>
    <t>斜率 (m)</t>
  </si>
  <si>
    <t>Vmax</t>
  </si>
  <si>
    <t>Km</t>
  </si>
  <si>
    <t>A</t>
  </si>
  <si>
    <t>B</t>
  </si>
  <si>
    <t>C</t>
  </si>
  <si>
    <t>D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</si>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</sst>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9"/>
      <name val="Calibri"/>
      <family val="3"/>
      <charset val="136"/>
      <scheme val="minor"/>
    </font>
    <font>
      <sz val="11"/>
      <color theme="1"/>
      <name val="Microsoft JhengHei"/>
      <family val="2"/>
      <charset val="136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0" fillId="2" borderId="1" xfId="0" applyFill="1" applyBorder="1"/>
    <xf numFmtId="0" fontId="3" fillId="0" borderId="0" xfId="0" applyFont="1"/>
    <xf numFmtId="0" fontId="3" fillId="2" borderId="1" xfId="0" applyFont="1" applyFill="1" applyBorder="1"/>
    <xf numFmtId="0" fontId="4" fillId="0" borderId="0" xfId="0" applyFont="1" applyFill="1"/>
    <xf numFmtId="0" fontId="4" fillId="2" borderId="1" xfId="0" applyFont="1" applyFill="1" applyBorder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A. PNP</a:t>
            </a:r>
            <a:r>
              <a:rPr lang="ja-JP" altLang="en-US"/>
              <a:t>在</a:t>
            </a:r>
            <a:r>
              <a:rPr lang="en-US" altLang="ja-JP"/>
              <a:t>10 mM Na2HPO4 0 </a:t>
            </a:r>
            <a:r>
              <a:rPr lang="el-GR" altLang="ja-JP"/>
              <a:t>μ</a:t>
            </a:r>
            <a:r>
              <a:rPr lang="en-US" altLang="ja-JP"/>
              <a:t>l</a:t>
            </a:r>
            <a:r>
              <a:rPr lang="ja-JP" altLang="en-US"/>
              <a:t>情形下的吸收光譜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{"PNPP 5 μl"}</c:f>
              <c:strCache>
                <c:ptCount val="1"/>
                <c:pt idx="0">
                  <c:v>PNPP 5 μl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11246344206974128"/>
                  <c:y val="5.337452610090405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rgbClr val="5B9BD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工作表1!B12:H12</c:f>
              <c:numCache>
                <c:formatCode>General</c:formatCode>
                <c:ptCount val="7"/>
                <c:pt idx="0">
                  <c:v>0</c:v>
                </c:pt>
                <c:pt idx="1">
                  <c:v>30</c:v>
                </c:pt>
                <c:pt idx="2">
                  <c:v>60</c:v>
                </c:pt>
                <c:pt idx="3">
                  <c:v>90</c:v>
                </c:pt>
                <c:pt idx="4">
                  <c:v>120</c:v>
                </c:pt>
                <c:pt idx="5">
                  <c:v>150</c:v>
                </c:pt>
                <c:pt idx="6">
                  <c:v>180</c:v>
                </c:pt>
              </c:numCache>
            </c:numRef>
          </c:xVal>
          <c:yVal>
            <c:numRef>
              <c:f>工作表1!B13:H13</c:f>
              <c:numCache>
                <c:formatCode>General</c:formatCode>
                <c:ptCount val="7"/>
                <c:pt idx="0">
                  <c:v>1.4E-2</c:v>
                </c:pt>
                <c:pt idx="1">
                  <c:v>2.8000000000000001E-2</c:v>
                </c:pt>
                <c:pt idx="2">
                  <c:v>4.5999999999999999E-2</c:v>
                </c:pt>
                <c:pt idx="3">
                  <c:v>6.0999999999999999E-2</c:v>
                </c:pt>
                <c:pt idx="4">
                  <c:v>7.6999999999999999E-2</c:v>
                </c:pt>
                <c:pt idx="5">
                  <c:v>9.2999999999999999E-2</c:v>
                </c:pt>
                <c:pt idx="6">
                  <c:v>0.108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4EB-4BD9-94E1-37B9FF4E56BC}"/>
            </c:ext>
          </c:extLst>
        </c:ser>
        <c:ser>
          <c:idx val="1"/>
          <c:order val="1"/>
          <c:tx>
            <c:strRef>
              <c:f>{"PNPP 10 μl"}</c:f>
              <c:strCache>
                <c:ptCount val="1"/>
                <c:pt idx="0">
                  <c:v>PNPP 10 μl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11761144721774634"/>
                  <c:y val="4.921442111402741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rgbClr val="ED7D3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工作表1!B12:H12</c:f>
              <c:numCache>
                <c:formatCode>General</c:formatCode>
                <c:ptCount val="7"/>
                <c:pt idx="0">
                  <c:v>0</c:v>
                </c:pt>
                <c:pt idx="1">
                  <c:v>30</c:v>
                </c:pt>
                <c:pt idx="2">
                  <c:v>60</c:v>
                </c:pt>
                <c:pt idx="3">
                  <c:v>90</c:v>
                </c:pt>
                <c:pt idx="4">
                  <c:v>120</c:v>
                </c:pt>
                <c:pt idx="5">
                  <c:v>150</c:v>
                </c:pt>
                <c:pt idx="6">
                  <c:v>180</c:v>
                </c:pt>
              </c:numCache>
            </c:numRef>
          </c:xVal>
          <c:yVal>
            <c:numRef>
              <c:f>工作表1!B14:H14</c:f>
              <c:numCache>
                <c:formatCode>General</c:formatCode>
                <c:ptCount val="7"/>
                <c:pt idx="0">
                  <c:v>0.02</c:v>
                </c:pt>
                <c:pt idx="1">
                  <c:v>6.0999999999999999E-2</c:v>
                </c:pt>
                <c:pt idx="2">
                  <c:v>9.9000000000000005E-2</c:v>
                </c:pt>
                <c:pt idx="3">
                  <c:v>0.13700000000000001</c:v>
                </c:pt>
                <c:pt idx="4">
                  <c:v>0.17599999999999999</c:v>
                </c:pt>
                <c:pt idx="5">
                  <c:v>0.214</c:v>
                </c:pt>
                <c:pt idx="6">
                  <c:v>0.247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4EB-4BD9-94E1-37B9FF4E56BC}"/>
            </c:ext>
          </c:extLst>
        </c:ser>
        <c:ser>
          <c:idx val="2"/>
          <c:order val="2"/>
          <c:tx>
            <c:strRef>
              <c:f>{"PNPP 25 μl"}</c:f>
              <c:strCache>
                <c:ptCount val="1"/>
                <c:pt idx="0">
                  <c:v>PNPP 25 μl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12275945236575149"/>
                  <c:y val="5.338619130941965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rgbClr val="AEAAAA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工作表1!B12:H12</c:f>
              <c:numCache>
                <c:formatCode>General</c:formatCode>
                <c:ptCount val="7"/>
                <c:pt idx="0">
                  <c:v>0</c:v>
                </c:pt>
                <c:pt idx="1">
                  <c:v>30</c:v>
                </c:pt>
                <c:pt idx="2">
                  <c:v>60</c:v>
                </c:pt>
                <c:pt idx="3">
                  <c:v>90</c:v>
                </c:pt>
                <c:pt idx="4">
                  <c:v>120</c:v>
                </c:pt>
                <c:pt idx="5">
                  <c:v>150</c:v>
                </c:pt>
                <c:pt idx="6">
                  <c:v>180</c:v>
                </c:pt>
              </c:numCache>
            </c:numRef>
          </c:xVal>
          <c:yVal>
            <c:numRef>
              <c:f>工作表1!B15:H15</c:f>
              <c:numCache>
                <c:formatCode>General</c:formatCode>
                <c:ptCount val="7"/>
                <c:pt idx="0">
                  <c:v>1.7000000000000001E-2</c:v>
                </c:pt>
                <c:pt idx="1">
                  <c:v>0.08</c:v>
                </c:pt>
                <c:pt idx="2">
                  <c:v>0.13300000000000001</c:v>
                </c:pt>
                <c:pt idx="3">
                  <c:v>0.19400000000000001</c:v>
                </c:pt>
                <c:pt idx="4">
                  <c:v>0.26</c:v>
                </c:pt>
                <c:pt idx="5">
                  <c:v>0.32800000000000001</c:v>
                </c:pt>
                <c:pt idx="6">
                  <c:v>0.39600000000000002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4EB-4BD9-94E1-37B9FF4E56BC}"/>
            </c:ext>
          </c:extLst>
        </c:ser>
        <c:ser>
          <c:idx val="3"/>
          <c:order val="3"/>
          <c:tx>
            <c:strRef>
              <c:f>{"PNPP 50 μl"}</c:f>
              <c:strCache>
                <c:ptCount val="1"/>
                <c:pt idx="0">
                  <c:v>PNPP 50 μl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11246344206974128"/>
                  <c:y val="-3.585812190142898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rgbClr val="FFC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工作表1!B12:H12</c:f>
              <c:numCache>
                <c:formatCode>General</c:formatCode>
                <c:ptCount val="7"/>
                <c:pt idx="0">
                  <c:v>0</c:v>
                </c:pt>
                <c:pt idx="1">
                  <c:v>30</c:v>
                </c:pt>
                <c:pt idx="2">
                  <c:v>60</c:v>
                </c:pt>
                <c:pt idx="3">
                  <c:v>90</c:v>
                </c:pt>
                <c:pt idx="4">
                  <c:v>120</c:v>
                </c:pt>
                <c:pt idx="5">
                  <c:v>150</c:v>
                </c:pt>
                <c:pt idx="6">
                  <c:v>180</c:v>
                </c:pt>
              </c:numCache>
            </c:numRef>
          </c:xVal>
          <c:yVal>
            <c:numRef>
              <c:f>工作表1!B16:H16</c:f>
              <c:numCache>
                <c:formatCode>General</c:formatCode>
                <c:ptCount val="7"/>
                <c:pt idx="0">
                  <c:v>2.5999999999999999E-2</c:v>
                </c:pt>
                <c:pt idx="1">
                  <c:v>8.5000000000000006E-2</c:v>
                </c:pt>
                <c:pt idx="2">
                  <c:v>0.158</c:v>
                </c:pt>
                <c:pt idx="3">
                  <c:v>0.23200000000000001</c:v>
                </c:pt>
                <c:pt idx="4">
                  <c:v>0.313</c:v>
                </c:pt>
                <c:pt idx="5">
                  <c:v>0.39500000000000002</c:v>
                </c:pt>
                <c:pt idx="6">
                  <c:v>0.48099999999999998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4EB-4BD9-94E1-37B9FF4E56BC}"/>
            </c:ext>
          </c:extLst>
        </c:ser>
        <c:ser>
          <c:idx val="4"/>
          <c:order val="4"/>
          <c:tx>
            <c:strRef>
              <c:f>{"PNPP 100μl"}</c:f>
              <c:strCache>
                <c:ptCount val="1"/>
                <c:pt idx="0">
                  <c:v>PNPP 100μl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11246344206974128"/>
                  <c:y val="-7.508827789968876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rgbClr val="4472C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工作表1!B12:H12</c:f>
              <c:numCache>
                <c:formatCode>General</c:formatCode>
                <c:ptCount val="7"/>
                <c:pt idx="0">
                  <c:v>0</c:v>
                </c:pt>
                <c:pt idx="1">
                  <c:v>30</c:v>
                </c:pt>
                <c:pt idx="2">
                  <c:v>60</c:v>
                </c:pt>
                <c:pt idx="3">
                  <c:v>90</c:v>
                </c:pt>
                <c:pt idx="4">
                  <c:v>120</c:v>
                </c:pt>
                <c:pt idx="5">
                  <c:v>150</c:v>
                </c:pt>
                <c:pt idx="6">
                  <c:v>180</c:v>
                </c:pt>
              </c:numCache>
            </c:numRef>
          </c:xVal>
          <c:yVal>
            <c:numRef>
              <c:f>工作表1!B17:H17</c:f>
              <c:numCache>
                <c:formatCode>General</c:formatCode>
                <c:ptCount val="7"/>
                <c:pt idx="0">
                  <c:v>4.1000000000000002E-2</c:v>
                </c:pt>
                <c:pt idx="1">
                  <c:v>0.107</c:v>
                </c:pt>
                <c:pt idx="2">
                  <c:v>0.17299999999999999</c:v>
                </c:pt>
                <c:pt idx="3">
                  <c:v>0.254</c:v>
                </c:pt>
                <c:pt idx="4">
                  <c:v>0.32900000000000001</c:v>
                </c:pt>
                <c:pt idx="5">
                  <c:v>0.40100000000000002</c:v>
                </c:pt>
                <c:pt idx="6">
                  <c:v>0.48899999999999999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4EB-4BD9-94E1-37B9FF4E56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5905416"/>
        <c:axId val="1565907976"/>
      </c:scatterChart>
      <c:valAx>
        <c:axId val="1565905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5907976"/>
        <c:crosses val="autoZero"/>
        <c:crossBetween val="midCat"/>
      </c:valAx>
      <c:valAx>
        <c:axId val="1565907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59054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B. PNP</a:t>
            </a:r>
            <a:r>
              <a:rPr lang="ja-JP" altLang="en-US"/>
              <a:t>在</a:t>
            </a:r>
            <a:r>
              <a:rPr lang="en-US" altLang="ja-JP"/>
              <a:t>10 mM Na2HPO4 5 </a:t>
            </a:r>
            <a:r>
              <a:rPr lang="el-GR" altLang="ja-JP"/>
              <a:t>μ</a:t>
            </a:r>
            <a:r>
              <a:rPr lang="en-US" altLang="ja-JP"/>
              <a:t>l</a:t>
            </a:r>
            <a:r>
              <a:rPr lang="ja-JP" altLang="en-US"/>
              <a:t>情形下的吸收光譜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{"PNPP 5 μl"}</c:f>
              <c:strCache>
                <c:ptCount val="1"/>
                <c:pt idx="0">
                  <c:v>PNPP 5 μl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120185449791749"/>
                  <c:y val="6.049358413531633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rgbClr val="5B9BD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工作表1!B12:H12</c:f>
              <c:numCache>
                <c:formatCode>General</c:formatCode>
                <c:ptCount val="7"/>
                <c:pt idx="0">
                  <c:v>0</c:v>
                </c:pt>
                <c:pt idx="1">
                  <c:v>30</c:v>
                </c:pt>
                <c:pt idx="2">
                  <c:v>60</c:v>
                </c:pt>
                <c:pt idx="3">
                  <c:v>90</c:v>
                </c:pt>
                <c:pt idx="4">
                  <c:v>120</c:v>
                </c:pt>
                <c:pt idx="5">
                  <c:v>150</c:v>
                </c:pt>
                <c:pt idx="6">
                  <c:v>180</c:v>
                </c:pt>
              </c:numCache>
            </c:numRef>
          </c:xVal>
          <c:yVal>
            <c:numRef>
              <c:f>工作表1!B18:H18</c:f>
              <c:numCache>
                <c:formatCode>General</c:formatCode>
                <c:ptCount val="7"/>
                <c:pt idx="0">
                  <c:v>1.7999999999999999E-2</c:v>
                </c:pt>
                <c:pt idx="1">
                  <c:v>2.1000000000000001E-2</c:v>
                </c:pt>
                <c:pt idx="2">
                  <c:v>2.7E-2</c:v>
                </c:pt>
                <c:pt idx="3">
                  <c:v>0.04</c:v>
                </c:pt>
                <c:pt idx="4">
                  <c:v>5.1999999999999998E-2</c:v>
                </c:pt>
                <c:pt idx="5">
                  <c:v>6.4000000000000001E-2</c:v>
                </c:pt>
                <c:pt idx="6">
                  <c:v>7.6999999999999999E-2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B6F-4A4D-A215-88DCE92FAFFF}"/>
            </c:ext>
          </c:extLst>
        </c:ser>
        <c:ser>
          <c:idx val="1"/>
          <c:order val="1"/>
          <c:tx>
            <c:strRef>
              <c:f>{"PNPP 10 μl"}</c:f>
              <c:strCache>
                <c:ptCount val="1"/>
                <c:pt idx="0">
                  <c:v>PNPP 10 μl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10844799805429726"/>
                  <c:y val="6.05920093321668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rgbClr val="ED7D3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工作表1!B12:H12</c:f>
              <c:numCache>
                <c:formatCode>General</c:formatCode>
                <c:ptCount val="7"/>
                <c:pt idx="0">
                  <c:v>0</c:v>
                </c:pt>
                <c:pt idx="1">
                  <c:v>30</c:v>
                </c:pt>
                <c:pt idx="2">
                  <c:v>60</c:v>
                </c:pt>
                <c:pt idx="3">
                  <c:v>90</c:v>
                </c:pt>
                <c:pt idx="4">
                  <c:v>120</c:v>
                </c:pt>
                <c:pt idx="5">
                  <c:v>150</c:v>
                </c:pt>
                <c:pt idx="6">
                  <c:v>180</c:v>
                </c:pt>
              </c:numCache>
            </c:numRef>
          </c:xVal>
          <c:yVal>
            <c:numRef>
              <c:f>工作表1!B19:H19</c:f>
              <c:numCache>
                <c:formatCode>General</c:formatCode>
                <c:ptCount val="7"/>
                <c:pt idx="0">
                  <c:v>8.9999999999999993E-3</c:v>
                </c:pt>
                <c:pt idx="1">
                  <c:v>3.3000000000000002E-2</c:v>
                </c:pt>
                <c:pt idx="2">
                  <c:v>6.2E-2</c:v>
                </c:pt>
                <c:pt idx="3">
                  <c:v>9.5000000000000001E-2</c:v>
                </c:pt>
                <c:pt idx="4">
                  <c:v>0.128</c:v>
                </c:pt>
                <c:pt idx="5">
                  <c:v>0.161</c:v>
                </c:pt>
                <c:pt idx="6">
                  <c:v>0.19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B6F-4A4D-A215-88DCE92FAFFF}"/>
            </c:ext>
          </c:extLst>
        </c:ser>
        <c:ser>
          <c:idx val="2"/>
          <c:order val="2"/>
          <c:tx>
            <c:strRef>
              <c:f>{"PNPP 25 μl"}</c:f>
              <c:strCache>
                <c:ptCount val="1"/>
                <c:pt idx="0">
                  <c:v>PNPP 25 μl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12275945236575149"/>
                  <c:y val="6.902960046660834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rgbClr val="A5A5A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工作表1!B12:H12</c:f>
              <c:numCache>
                <c:formatCode>General</c:formatCode>
                <c:ptCount val="7"/>
                <c:pt idx="0">
                  <c:v>0</c:v>
                </c:pt>
                <c:pt idx="1">
                  <c:v>30</c:v>
                </c:pt>
                <c:pt idx="2">
                  <c:v>60</c:v>
                </c:pt>
                <c:pt idx="3">
                  <c:v>90</c:v>
                </c:pt>
                <c:pt idx="4">
                  <c:v>120</c:v>
                </c:pt>
                <c:pt idx="5">
                  <c:v>150</c:v>
                </c:pt>
                <c:pt idx="6">
                  <c:v>180</c:v>
                </c:pt>
              </c:numCache>
            </c:numRef>
          </c:xVal>
          <c:yVal>
            <c:numRef>
              <c:f>工作表1!B20:H20</c:f>
              <c:numCache>
                <c:formatCode>General</c:formatCode>
                <c:ptCount val="7"/>
                <c:pt idx="0">
                  <c:v>0.02</c:v>
                </c:pt>
                <c:pt idx="1">
                  <c:v>6.6000000000000003E-2</c:v>
                </c:pt>
                <c:pt idx="2">
                  <c:v>0.123</c:v>
                </c:pt>
                <c:pt idx="3">
                  <c:v>0.16500000000000001</c:v>
                </c:pt>
                <c:pt idx="4">
                  <c:v>0.222</c:v>
                </c:pt>
                <c:pt idx="5">
                  <c:v>0.27500000000000002</c:v>
                </c:pt>
                <c:pt idx="6">
                  <c:v>0.33400000000000002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B6F-4A4D-A215-88DCE92FAFFF}"/>
            </c:ext>
          </c:extLst>
        </c:ser>
        <c:ser>
          <c:idx val="3"/>
          <c:order val="3"/>
          <c:tx>
            <c:strRef>
              <c:f>{"PNPP 50 μl"}</c:f>
              <c:strCache>
                <c:ptCount val="1"/>
                <c:pt idx="0">
                  <c:v>PNPP 50 μl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12790745751375682"/>
                  <c:y val="7.319480898221056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rgbClr val="FFC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工作表1!B12:H12</c:f>
              <c:numCache>
                <c:formatCode>General</c:formatCode>
                <c:ptCount val="7"/>
                <c:pt idx="0">
                  <c:v>0</c:v>
                </c:pt>
                <c:pt idx="1">
                  <c:v>30</c:v>
                </c:pt>
                <c:pt idx="2">
                  <c:v>60</c:v>
                </c:pt>
                <c:pt idx="3">
                  <c:v>90</c:v>
                </c:pt>
                <c:pt idx="4">
                  <c:v>120</c:v>
                </c:pt>
                <c:pt idx="5">
                  <c:v>150</c:v>
                </c:pt>
                <c:pt idx="6">
                  <c:v>180</c:v>
                </c:pt>
              </c:numCache>
            </c:numRef>
          </c:xVal>
          <c:yVal>
            <c:numRef>
              <c:f>工作表1!B21:H21</c:f>
              <c:numCache>
                <c:formatCode>General</c:formatCode>
                <c:ptCount val="7"/>
                <c:pt idx="0">
                  <c:v>3.7999999999999999E-2</c:v>
                </c:pt>
                <c:pt idx="1">
                  <c:v>9.1999999999999998E-2</c:v>
                </c:pt>
                <c:pt idx="2">
                  <c:v>0.16500000000000001</c:v>
                </c:pt>
                <c:pt idx="3">
                  <c:v>0.24099999999999999</c:v>
                </c:pt>
                <c:pt idx="4">
                  <c:v>0.317</c:v>
                </c:pt>
                <c:pt idx="5">
                  <c:v>0.4</c:v>
                </c:pt>
                <c:pt idx="6">
                  <c:v>0.48499999999999999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B6F-4A4D-A215-88DCE92FAFFF}"/>
            </c:ext>
          </c:extLst>
        </c:ser>
        <c:ser>
          <c:idx val="4"/>
          <c:order val="4"/>
          <c:tx>
            <c:strRef>
              <c:f>{"PNPP 100μl"}</c:f>
              <c:strCache>
                <c:ptCount val="1"/>
                <c:pt idx="0">
                  <c:v>PNPP 100μl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12790745751375682"/>
                  <c:y val="-6.680555555555556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rgbClr val="4472C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工作表1!B12:H12</c:f>
              <c:numCache>
                <c:formatCode>General</c:formatCode>
                <c:ptCount val="7"/>
                <c:pt idx="0">
                  <c:v>0</c:v>
                </c:pt>
                <c:pt idx="1">
                  <c:v>30</c:v>
                </c:pt>
                <c:pt idx="2">
                  <c:v>60</c:v>
                </c:pt>
                <c:pt idx="3">
                  <c:v>90</c:v>
                </c:pt>
                <c:pt idx="4">
                  <c:v>120</c:v>
                </c:pt>
                <c:pt idx="5">
                  <c:v>150</c:v>
                </c:pt>
                <c:pt idx="6">
                  <c:v>180</c:v>
                </c:pt>
              </c:numCache>
            </c:numRef>
          </c:xVal>
          <c:yVal>
            <c:numRef>
              <c:f>工作表1!B22:H22</c:f>
              <c:numCache>
                <c:formatCode>General</c:formatCode>
                <c:ptCount val="7"/>
                <c:pt idx="0">
                  <c:v>3.7999999999999999E-2</c:v>
                </c:pt>
                <c:pt idx="1">
                  <c:v>0.113</c:v>
                </c:pt>
                <c:pt idx="2">
                  <c:v>0.184</c:v>
                </c:pt>
                <c:pt idx="3">
                  <c:v>0.26600000000000001</c:v>
                </c:pt>
                <c:pt idx="4">
                  <c:v>0.35399999999999998</c:v>
                </c:pt>
                <c:pt idx="5">
                  <c:v>0.44700000000000001</c:v>
                </c:pt>
                <c:pt idx="6">
                  <c:v>0.54100000000000004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B6F-4A4D-A215-88DCE92FAF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5905416"/>
        <c:axId val="1565907976"/>
      </c:scatterChart>
      <c:valAx>
        <c:axId val="1565905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5907976"/>
        <c:crosses val="autoZero"/>
        <c:crossBetween val="midCat"/>
      </c:valAx>
      <c:valAx>
        <c:axId val="1565907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59054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C. PNP</a:t>
            </a:r>
            <a:r>
              <a:rPr lang="ja-JP" altLang="en-US"/>
              <a:t>在</a:t>
            </a:r>
            <a:r>
              <a:rPr lang="en-US" altLang="ja-JP"/>
              <a:t>10 mM Na2HPO4 20 </a:t>
            </a:r>
            <a:r>
              <a:rPr lang="el-GR" altLang="ja-JP"/>
              <a:t>μ</a:t>
            </a:r>
            <a:r>
              <a:rPr lang="en-US" altLang="ja-JP"/>
              <a:t>l</a:t>
            </a:r>
            <a:r>
              <a:rPr lang="ja-JP" altLang="en-US"/>
              <a:t>情形下的吸收光譜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{"PNPP 5 μl"}</c:f>
              <c:strCache>
                <c:ptCount val="1"/>
                <c:pt idx="0">
                  <c:v>PNPP 5 μl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9.4445424051723265E-2"/>
                  <c:y val="5.583333333333333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rgbClr val="5B9BD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工作表1!B12:H12</c:f>
              <c:numCache>
                <c:formatCode>General</c:formatCode>
                <c:ptCount val="7"/>
                <c:pt idx="0">
                  <c:v>0</c:v>
                </c:pt>
                <c:pt idx="1">
                  <c:v>30</c:v>
                </c:pt>
                <c:pt idx="2">
                  <c:v>60</c:v>
                </c:pt>
                <c:pt idx="3">
                  <c:v>90</c:v>
                </c:pt>
                <c:pt idx="4">
                  <c:v>120</c:v>
                </c:pt>
                <c:pt idx="5">
                  <c:v>150</c:v>
                </c:pt>
                <c:pt idx="6">
                  <c:v>180</c:v>
                </c:pt>
              </c:numCache>
            </c:numRef>
          </c:xVal>
          <c:yVal>
            <c:numRef>
              <c:f>工作表1!B23:H23</c:f>
              <c:numCache>
                <c:formatCode>General</c:formatCode>
                <c:ptCount val="7"/>
                <c:pt idx="0">
                  <c:v>7.0000000000000001E-3</c:v>
                </c:pt>
                <c:pt idx="1">
                  <c:v>1.6E-2</c:v>
                </c:pt>
                <c:pt idx="2">
                  <c:v>2.7E-2</c:v>
                </c:pt>
                <c:pt idx="3">
                  <c:v>0.04</c:v>
                </c:pt>
                <c:pt idx="4">
                  <c:v>5.0999999999999997E-2</c:v>
                </c:pt>
                <c:pt idx="5">
                  <c:v>6.2E-2</c:v>
                </c:pt>
                <c:pt idx="6">
                  <c:v>7.3999999999999996E-2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7D7-4DE4-8700-808064F95E35}"/>
            </c:ext>
          </c:extLst>
        </c:ser>
        <c:ser>
          <c:idx val="1"/>
          <c:order val="1"/>
          <c:tx>
            <c:strRef>
              <c:f>{"PNPP 10 μl"}</c:f>
              <c:strCache>
                <c:ptCount val="1"/>
                <c:pt idx="0">
                  <c:v>PNPP 10 μl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9.7019426625725838E-2"/>
                  <c:y val="3.690653251676873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rgbClr val="ED7D3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工作表1!B12:H12</c:f>
              <c:numCache>
                <c:formatCode>General</c:formatCode>
                <c:ptCount val="7"/>
                <c:pt idx="0">
                  <c:v>0</c:v>
                </c:pt>
                <c:pt idx="1">
                  <c:v>30</c:v>
                </c:pt>
                <c:pt idx="2">
                  <c:v>60</c:v>
                </c:pt>
                <c:pt idx="3">
                  <c:v>90</c:v>
                </c:pt>
                <c:pt idx="4">
                  <c:v>120</c:v>
                </c:pt>
                <c:pt idx="5">
                  <c:v>150</c:v>
                </c:pt>
                <c:pt idx="6">
                  <c:v>180</c:v>
                </c:pt>
              </c:numCache>
            </c:numRef>
          </c:xVal>
          <c:yVal>
            <c:numRef>
              <c:f>工作表1!B24:H24</c:f>
              <c:numCache>
                <c:formatCode>General</c:formatCode>
                <c:ptCount val="7"/>
                <c:pt idx="0">
                  <c:v>1.0999999999999999E-2</c:v>
                </c:pt>
                <c:pt idx="1">
                  <c:v>2.9000000000000001E-2</c:v>
                </c:pt>
                <c:pt idx="2">
                  <c:v>0.05</c:v>
                </c:pt>
                <c:pt idx="3">
                  <c:v>6.8000000000000005E-2</c:v>
                </c:pt>
                <c:pt idx="4">
                  <c:v>9.0999999999999998E-2</c:v>
                </c:pt>
                <c:pt idx="5">
                  <c:v>0.112</c:v>
                </c:pt>
                <c:pt idx="6">
                  <c:v>0.13200000000000001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7D7-4DE4-8700-808064F95E35}"/>
            </c:ext>
          </c:extLst>
        </c:ser>
        <c:ser>
          <c:idx val="2"/>
          <c:order val="2"/>
          <c:tx>
            <c:strRef>
              <c:f>{"PNPP 25 μl"}</c:f>
              <c:strCache>
                <c:ptCount val="1"/>
                <c:pt idx="0">
                  <c:v>PNPP 25 μl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9.0429980036279251E-2"/>
                  <c:y val="6.626709397174410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rgbClr val="A5A5A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工作表1!B12:H12</c:f>
              <c:numCache>
                <c:formatCode>General</c:formatCode>
                <c:ptCount val="7"/>
                <c:pt idx="0">
                  <c:v>0</c:v>
                </c:pt>
                <c:pt idx="1">
                  <c:v>30</c:v>
                </c:pt>
                <c:pt idx="2">
                  <c:v>60</c:v>
                </c:pt>
                <c:pt idx="3">
                  <c:v>90</c:v>
                </c:pt>
                <c:pt idx="4">
                  <c:v>120</c:v>
                </c:pt>
                <c:pt idx="5">
                  <c:v>150</c:v>
                </c:pt>
                <c:pt idx="6">
                  <c:v>180</c:v>
                </c:pt>
              </c:numCache>
            </c:numRef>
          </c:xVal>
          <c:yVal>
            <c:numRef>
              <c:f>工作表1!B25:H25</c:f>
              <c:numCache>
                <c:formatCode>General</c:formatCode>
                <c:ptCount val="7"/>
                <c:pt idx="0">
                  <c:v>1.6E-2</c:v>
                </c:pt>
                <c:pt idx="1">
                  <c:v>4.1000000000000002E-2</c:v>
                </c:pt>
                <c:pt idx="2">
                  <c:v>7.2999999999999995E-2</c:v>
                </c:pt>
                <c:pt idx="3">
                  <c:v>0.11</c:v>
                </c:pt>
                <c:pt idx="4">
                  <c:v>0.14799999999999999</c:v>
                </c:pt>
                <c:pt idx="5">
                  <c:v>0.186</c:v>
                </c:pt>
                <c:pt idx="6">
                  <c:v>0.224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7D7-4DE4-8700-808064F95E35}"/>
            </c:ext>
          </c:extLst>
        </c:ser>
        <c:ser>
          <c:idx val="3"/>
          <c:order val="3"/>
          <c:tx>
            <c:strRef>
              <c:f>{"PNPP 50 μl"}</c:f>
              <c:strCache>
                <c:ptCount val="1"/>
                <c:pt idx="0">
                  <c:v>PNPP 50 μl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7.8692528298827516E-2"/>
                  <c:y val="0.1061338087456049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rgbClr val="FFC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工作表1!B12:H12</c:f>
              <c:numCache>
                <c:formatCode>General</c:formatCode>
                <c:ptCount val="7"/>
                <c:pt idx="0">
                  <c:v>0</c:v>
                </c:pt>
                <c:pt idx="1">
                  <c:v>30</c:v>
                </c:pt>
                <c:pt idx="2">
                  <c:v>60</c:v>
                </c:pt>
                <c:pt idx="3">
                  <c:v>90</c:v>
                </c:pt>
                <c:pt idx="4">
                  <c:v>120</c:v>
                </c:pt>
                <c:pt idx="5">
                  <c:v>150</c:v>
                </c:pt>
                <c:pt idx="6">
                  <c:v>180</c:v>
                </c:pt>
              </c:numCache>
            </c:numRef>
          </c:xVal>
          <c:yVal>
            <c:numRef>
              <c:f>工作表1!B26:H26</c:f>
              <c:numCache>
                <c:formatCode>General</c:formatCode>
                <c:ptCount val="7"/>
                <c:pt idx="0">
                  <c:v>2.9000000000000001E-2</c:v>
                </c:pt>
                <c:pt idx="1">
                  <c:v>8.2000000000000003E-2</c:v>
                </c:pt>
                <c:pt idx="2">
                  <c:v>0.13300000000000001</c:v>
                </c:pt>
                <c:pt idx="3">
                  <c:v>0.192</c:v>
                </c:pt>
                <c:pt idx="4">
                  <c:v>0.253</c:v>
                </c:pt>
                <c:pt idx="5">
                  <c:v>0.316</c:v>
                </c:pt>
                <c:pt idx="6">
                  <c:v>0.38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7D7-4DE4-8700-808064F95E35}"/>
            </c:ext>
          </c:extLst>
        </c:ser>
        <c:ser>
          <c:idx val="4"/>
          <c:order val="4"/>
          <c:tx>
            <c:v>PNPP 100μl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9.7019426625725838E-2"/>
                  <c:y val="3.991312406703879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rgbClr val="4472C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工作表1!B12:H12</c:f>
              <c:numCache>
                <c:formatCode>General</c:formatCode>
                <c:ptCount val="7"/>
                <c:pt idx="0">
                  <c:v>0</c:v>
                </c:pt>
                <c:pt idx="1">
                  <c:v>30</c:v>
                </c:pt>
                <c:pt idx="2">
                  <c:v>60</c:v>
                </c:pt>
                <c:pt idx="3">
                  <c:v>90</c:v>
                </c:pt>
                <c:pt idx="4">
                  <c:v>120</c:v>
                </c:pt>
                <c:pt idx="5">
                  <c:v>150</c:v>
                </c:pt>
                <c:pt idx="6">
                  <c:v>180</c:v>
                </c:pt>
              </c:numCache>
            </c:numRef>
          </c:xVal>
          <c:yVal>
            <c:numRef>
              <c:f>工作表1!B27:H27</c:f>
              <c:numCache>
                <c:formatCode>General</c:formatCode>
                <c:ptCount val="7"/>
                <c:pt idx="0">
                  <c:v>3.3000000000000002E-2</c:v>
                </c:pt>
                <c:pt idx="1">
                  <c:v>8.7999999999999995E-2</c:v>
                </c:pt>
                <c:pt idx="2">
                  <c:v>0.15</c:v>
                </c:pt>
                <c:pt idx="3">
                  <c:v>0.217</c:v>
                </c:pt>
                <c:pt idx="4">
                  <c:v>0.28599999999999998</c:v>
                </c:pt>
                <c:pt idx="5">
                  <c:v>0.36599999999999999</c:v>
                </c:pt>
                <c:pt idx="6">
                  <c:v>0.45800000000000002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7D7-4DE4-8700-808064F95E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5905416"/>
        <c:axId val="1565907976"/>
      </c:scatterChart>
      <c:valAx>
        <c:axId val="1565905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5907976"/>
        <c:crosses val="autoZero"/>
        <c:crossBetween val="midCat"/>
      </c:valAx>
      <c:valAx>
        <c:axId val="1565907976"/>
        <c:scaling>
          <c:orientation val="minMax"/>
          <c:max val="0.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59054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D. PNP</a:t>
            </a:r>
            <a:r>
              <a:rPr lang="ja-JP" altLang="en-US"/>
              <a:t>在</a:t>
            </a:r>
            <a:r>
              <a:rPr lang="en-US" altLang="ja-JP"/>
              <a:t>10 mM Na2HPO4 50 </a:t>
            </a:r>
            <a:r>
              <a:rPr lang="el-GR" altLang="ja-JP"/>
              <a:t>μ</a:t>
            </a:r>
            <a:r>
              <a:rPr lang="en-US" altLang="ja-JP"/>
              <a:t>l</a:t>
            </a:r>
            <a:r>
              <a:rPr lang="ja-JP" altLang="en-US"/>
              <a:t>情形下的吸收光譜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{"PNPP 5 μl"}</c:f>
              <c:strCache>
                <c:ptCount val="1"/>
                <c:pt idx="0">
                  <c:v>PNPP 5 μl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8.4149413755712971E-2"/>
                  <c:y val="5.088983668708086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rgbClr val="5B9BD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工作表1!B12:H12</c:f>
              <c:numCache>
                <c:formatCode>General</c:formatCode>
                <c:ptCount val="7"/>
                <c:pt idx="0">
                  <c:v>0</c:v>
                </c:pt>
                <c:pt idx="1">
                  <c:v>30</c:v>
                </c:pt>
                <c:pt idx="2">
                  <c:v>60</c:v>
                </c:pt>
                <c:pt idx="3">
                  <c:v>90</c:v>
                </c:pt>
                <c:pt idx="4">
                  <c:v>120</c:v>
                </c:pt>
                <c:pt idx="5">
                  <c:v>150</c:v>
                </c:pt>
                <c:pt idx="6">
                  <c:v>180</c:v>
                </c:pt>
              </c:numCache>
            </c:numRef>
          </c:xVal>
          <c:yVal>
            <c:numRef>
              <c:f>工作表1!B28:H28</c:f>
              <c:numCache>
                <c:formatCode>General</c:formatCode>
                <c:ptCount val="7"/>
                <c:pt idx="0">
                  <c:v>6.0000000000000001E-3</c:v>
                </c:pt>
                <c:pt idx="1">
                  <c:v>1.2999999999999999E-2</c:v>
                </c:pt>
                <c:pt idx="2">
                  <c:v>0.02</c:v>
                </c:pt>
                <c:pt idx="3">
                  <c:v>2.8000000000000001E-2</c:v>
                </c:pt>
                <c:pt idx="4">
                  <c:v>3.5999999999999997E-2</c:v>
                </c:pt>
                <c:pt idx="5">
                  <c:v>4.3999999999999997E-2</c:v>
                </c:pt>
                <c:pt idx="6">
                  <c:v>5.1999999999999998E-2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32C-4EDD-86AA-EA97E1CC014F}"/>
            </c:ext>
          </c:extLst>
        </c:ser>
        <c:ser>
          <c:idx val="1"/>
          <c:order val="1"/>
          <c:tx>
            <c:strRef>
              <c:f>{"PNPP 10 μl"}</c:f>
              <c:strCache>
                <c:ptCount val="1"/>
                <c:pt idx="0">
                  <c:v>PNPP 10 μl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8.4149413755712971E-2"/>
                  <c:y val="2.757399227535582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rgbClr val="ED7D3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工作表1!B12:H12</c:f>
              <c:numCache>
                <c:formatCode>General</c:formatCode>
                <c:ptCount val="7"/>
                <c:pt idx="0">
                  <c:v>0</c:v>
                </c:pt>
                <c:pt idx="1">
                  <c:v>30</c:v>
                </c:pt>
                <c:pt idx="2">
                  <c:v>60</c:v>
                </c:pt>
                <c:pt idx="3">
                  <c:v>90</c:v>
                </c:pt>
                <c:pt idx="4">
                  <c:v>120</c:v>
                </c:pt>
                <c:pt idx="5">
                  <c:v>150</c:v>
                </c:pt>
                <c:pt idx="6">
                  <c:v>180</c:v>
                </c:pt>
              </c:numCache>
            </c:numRef>
          </c:xVal>
          <c:yVal>
            <c:numRef>
              <c:f>工作表1!B29:H29</c:f>
              <c:numCache>
                <c:formatCode>General</c:formatCode>
                <c:ptCount val="7"/>
                <c:pt idx="0">
                  <c:v>5.0000000000000001E-3</c:v>
                </c:pt>
                <c:pt idx="1">
                  <c:v>1.7000000000000001E-2</c:v>
                </c:pt>
                <c:pt idx="2">
                  <c:v>3.1E-2</c:v>
                </c:pt>
                <c:pt idx="3">
                  <c:v>4.5999999999999999E-2</c:v>
                </c:pt>
                <c:pt idx="4">
                  <c:v>6.0999999999999999E-2</c:v>
                </c:pt>
                <c:pt idx="5">
                  <c:v>7.5999999999999998E-2</c:v>
                </c:pt>
                <c:pt idx="6">
                  <c:v>8.8999999999999996E-2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32C-4EDD-86AA-EA97E1CC014F}"/>
            </c:ext>
          </c:extLst>
        </c:ser>
        <c:ser>
          <c:idx val="2"/>
          <c:order val="2"/>
          <c:tx>
            <c:strRef>
              <c:f>{"PNPP 25 μl"}</c:f>
              <c:strCache>
                <c:ptCount val="1"/>
                <c:pt idx="0">
                  <c:v>PNPP 25 μl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7.498596459226381E-2"/>
                  <c:y val="5.615602927682826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rgbClr val="A5A5A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工作表1!B12:H12</c:f>
              <c:numCache>
                <c:formatCode>General</c:formatCode>
                <c:ptCount val="7"/>
                <c:pt idx="0">
                  <c:v>0</c:v>
                </c:pt>
                <c:pt idx="1">
                  <c:v>30</c:v>
                </c:pt>
                <c:pt idx="2">
                  <c:v>60</c:v>
                </c:pt>
                <c:pt idx="3">
                  <c:v>90</c:v>
                </c:pt>
                <c:pt idx="4">
                  <c:v>120</c:v>
                </c:pt>
                <c:pt idx="5">
                  <c:v>150</c:v>
                </c:pt>
                <c:pt idx="6">
                  <c:v>180</c:v>
                </c:pt>
              </c:numCache>
            </c:numRef>
          </c:xVal>
          <c:yVal>
            <c:numRef>
              <c:f>工作表1!B30:H30</c:f>
              <c:numCache>
                <c:formatCode>General</c:formatCode>
                <c:ptCount val="7"/>
                <c:pt idx="0">
                  <c:v>1.7999999999999999E-2</c:v>
                </c:pt>
                <c:pt idx="1">
                  <c:v>0.04</c:v>
                </c:pt>
                <c:pt idx="2">
                  <c:v>6.8000000000000005E-2</c:v>
                </c:pt>
                <c:pt idx="3">
                  <c:v>9.5000000000000001E-2</c:v>
                </c:pt>
                <c:pt idx="4">
                  <c:v>0.126</c:v>
                </c:pt>
                <c:pt idx="5">
                  <c:v>0.157</c:v>
                </c:pt>
                <c:pt idx="6">
                  <c:v>0.19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32C-4EDD-86AA-EA97E1CC014F}"/>
            </c:ext>
          </c:extLst>
        </c:ser>
        <c:ser>
          <c:idx val="3"/>
          <c:order val="3"/>
          <c:tx>
            <c:strRef>
              <c:f>{"PNPP 50 μl"}</c:f>
              <c:strCache>
                <c:ptCount val="1"/>
                <c:pt idx="0">
                  <c:v>PNPP 50 μl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8.4149413755712971E-2"/>
                  <c:y val="5.678168277745769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rgbClr val="FFC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工作表1!B12:H12</c:f>
              <c:numCache>
                <c:formatCode>General</c:formatCode>
                <c:ptCount val="7"/>
                <c:pt idx="0">
                  <c:v>0</c:v>
                </c:pt>
                <c:pt idx="1">
                  <c:v>30</c:v>
                </c:pt>
                <c:pt idx="2">
                  <c:v>60</c:v>
                </c:pt>
                <c:pt idx="3">
                  <c:v>90</c:v>
                </c:pt>
                <c:pt idx="4">
                  <c:v>120</c:v>
                </c:pt>
                <c:pt idx="5">
                  <c:v>150</c:v>
                </c:pt>
                <c:pt idx="6">
                  <c:v>180</c:v>
                </c:pt>
              </c:numCache>
            </c:numRef>
          </c:xVal>
          <c:yVal>
            <c:numRef>
              <c:f>工作表1!B31:H31</c:f>
              <c:numCache>
                <c:formatCode>General</c:formatCode>
                <c:ptCount val="7"/>
                <c:pt idx="0">
                  <c:v>0.02</c:v>
                </c:pt>
                <c:pt idx="1">
                  <c:v>0.05</c:v>
                </c:pt>
                <c:pt idx="2">
                  <c:v>8.4000000000000005E-2</c:v>
                </c:pt>
                <c:pt idx="3">
                  <c:v>0.123</c:v>
                </c:pt>
                <c:pt idx="4">
                  <c:v>0.16600000000000001</c:v>
                </c:pt>
                <c:pt idx="5">
                  <c:v>0.21</c:v>
                </c:pt>
                <c:pt idx="6">
                  <c:v>0.255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32C-4EDD-86AA-EA97E1CC014F}"/>
            </c:ext>
          </c:extLst>
        </c:ser>
        <c:ser>
          <c:idx val="4"/>
          <c:order val="4"/>
          <c:tx>
            <c:v>PNPP 100μl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7.2411962018261236E-2"/>
                  <c:y val="7.680885417778061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rgbClr val="4472C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工作表1!B12:H12</c:f>
              <c:numCache>
                <c:formatCode>General</c:formatCode>
                <c:ptCount val="7"/>
                <c:pt idx="0">
                  <c:v>0</c:v>
                </c:pt>
                <c:pt idx="1">
                  <c:v>30</c:v>
                </c:pt>
                <c:pt idx="2">
                  <c:v>60</c:v>
                </c:pt>
                <c:pt idx="3">
                  <c:v>90</c:v>
                </c:pt>
                <c:pt idx="4">
                  <c:v>120</c:v>
                </c:pt>
                <c:pt idx="5">
                  <c:v>150</c:v>
                </c:pt>
                <c:pt idx="6">
                  <c:v>180</c:v>
                </c:pt>
              </c:numCache>
            </c:numRef>
          </c:xVal>
          <c:yVal>
            <c:numRef>
              <c:f>工作表1!B32:H32</c:f>
              <c:numCache>
                <c:formatCode>General</c:formatCode>
                <c:ptCount val="7"/>
                <c:pt idx="0">
                  <c:v>0.03</c:v>
                </c:pt>
                <c:pt idx="1">
                  <c:v>8.4000000000000005E-2</c:v>
                </c:pt>
                <c:pt idx="2">
                  <c:v>0.14099999999999999</c:v>
                </c:pt>
                <c:pt idx="3">
                  <c:v>0.20399999999999999</c:v>
                </c:pt>
                <c:pt idx="4">
                  <c:v>0.27200000000000002</c:v>
                </c:pt>
                <c:pt idx="5">
                  <c:v>0.34599999999999997</c:v>
                </c:pt>
                <c:pt idx="6">
                  <c:v>0.41599999999999998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32C-4EDD-86AA-EA97E1CC01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5905416"/>
        <c:axId val="1565907976"/>
      </c:scatterChart>
      <c:valAx>
        <c:axId val="1565905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5907976"/>
        <c:crosses val="autoZero"/>
        <c:crossBetween val="midCat"/>
      </c:valAx>
      <c:valAx>
        <c:axId val="1565907976"/>
        <c:scaling>
          <c:orientation val="minMax"/>
          <c:max val="0.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59054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E. PNP</a:t>
            </a:r>
            <a:r>
              <a:rPr lang="ja-JP" altLang="en-US"/>
              <a:t>在</a:t>
            </a:r>
            <a:r>
              <a:rPr lang="en-US" altLang="ja-JP"/>
              <a:t>10 mM Na2HPO4 100 </a:t>
            </a:r>
            <a:r>
              <a:rPr lang="el-GR" altLang="ja-JP"/>
              <a:t>μ</a:t>
            </a:r>
            <a:r>
              <a:rPr lang="en-US" altLang="ja-JP"/>
              <a:t>l</a:t>
            </a:r>
            <a:r>
              <a:rPr lang="ja-JP" altLang="en-US"/>
              <a:t>情形下的吸收光譜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{"PNPP 5 μl"}</c:f>
              <c:strCache>
                <c:ptCount val="1"/>
                <c:pt idx="0">
                  <c:v>PNPP 5 μl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9.8615308221607523E-2"/>
                  <c:y val="3.324908637101561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rgbClr val="5B9BD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工作表1!B12:H12</c:f>
              <c:numCache>
                <c:formatCode>General</c:formatCode>
                <c:ptCount val="7"/>
                <c:pt idx="0">
                  <c:v>0</c:v>
                </c:pt>
                <c:pt idx="1">
                  <c:v>30</c:v>
                </c:pt>
                <c:pt idx="2">
                  <c:v>60</c:v>
                </c:pt>
                <c:pt idx="3">
                  <c:v>90</c:v>
                </c:pt>
                <c:pt idx="4">
                  <c:v>120</c:v>
                </c:pt>
                <c:pt idx="5">
                  <c:v>150</c:v>
                </c:pt>
                <c:pt idx="6">
                  <c:v>180</c:v>
                </c:pt>
              </c:numCache>
            </c:numRef>
          </c:xVal>
          <c:yVal>
            <c:numRef>
              <c:f>工作表1!B33:H33</c:f>
              <c:numCache>
                <c:formatCode>General</c:formatCode>
                <c:ptCount val="7"/>
                <c:pt idx="0">
                  <c:v>0.01</c:v>
                </c:pt>
                <c:pt idx="1">
                  <c:v>1.4999999999999999E-2</c:v>
                </c:pt>
                <c:pt idx="2">
                  <c:v>1.7000000000000001E-2</c:v>
                </c:pt>
                <c:pt idx="3">
                  <c:v>0.02</c:v>
                </c:pt>
                <c:pt idx="4">
                  <c:v>2.1999999999999999E-2</c:v>
                </c:pt>
                <c:pt idx="5">
                  <c:v>2.5000000000000001E-2</c:v>
                </c:pt>
                <c:pt idx="6">
                  <c:v>2.8000000000000001E-2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EF4-49C8-B843-2B6D4EE79F9B}"/>
            </c:ext>
          </c:extLst>
        </c:ser>
        <c:ser>
          <c:idx val="1"/>
          <c:order val="1"/>
          <c:tx>
            <c:strRef>
              <c:f>{"PNPP 10 μl"}</c:f>
              <c:strCache>
                <c:ptCount val="1"/>
                <c:pt idx="0">
                  <c:v>PNPP 10 μl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11246344206974128"/>
                  <c:y val="2.074134466161757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rgbClr val="ED7D3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工作表1!B12:H12</c:f>
              <c:numCache>
                <c:formatCode>General</c:formatCode>
                <c:ptCount val="7"/>
                <c:pt idx="0">
                  <c:v>0</c:v>
                </c:pt>
                <c:pt idx="1">
                  <c:v>30</c:v>
                </c:pt>
                <c:pt idx="2">
                  <c:v>60</c:v>
                </c:pt>
                <c:pt idx="3">
                  <c:v>90</c:v>
                </c:pt>
                <c:pt idx="4">
                  <c:v>120</c:v>
                </c:pt>
                <c:pt idx="5">
                  <c:v>150</c:v>
                </c:pt>
                <c:pt idx="6">
                  <c:v>180</c:v>
                </c:pt>
              </c:numCache>
            </c:numRef>
          </c:xVal>
          <c:yVal>
            <c:numRef>
              <c:f>工作表1!B34:H34</c:f>
              <c:numCache>
                <c:formatCode>General</c:formatCode>
                <c:ptCount val="7"/>
                <c:pt idx="0">
                  <c:v>0.01</c:v>
                </c:pt>
                <c:pt idx="1">
                  <c:v>1.7999999999999999E-2</c:v>
                </c:pt>
                <c:pt idx="2">
                  <c:v>2.9000000000000001E-2</c:v>
                </c:pt>
                <c:pt idx="3">
                  <c:v>3.7999999999999999E-2</c:v>
                </c:pt>
                <c:pt idx="4">
                  <c:v>4.8000000000000001E-2</c:v>
                </c:pt>
                <c:pt idx="5">
                  <c:v>5.8999999999999997E-2</c:v>
                </c:pt>
                <c:pt idx="6">
                  <c:v>7.0000000000000007E-2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EF4-49C8-B843-2B6D4EE79F9B}"/>
            </c:ext>
          </c:extLst>
        </c:ser>
        <c:ser>
          <c:idx val="2"/>
          <c:order val="2"/>
          <c:tx>
            <c:strRef>
              <c:f>{"PNPP 25 μl"}</c:f>
              <c:strCache>
                <c:ptCount val="1"/>
                <c:pt idx="0">
                  <c:v>PNPP 25 μl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9.8859737127453662E-2"/>
                  <c:y val="2.217236544062122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rgbClr val="A5A5A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工作表1!B12:H12</c:f>
              <c:numCache>
                <c:formatCode>General</c:formatCode>
                <c:ptCount val="7"/>
                <c:pt idx="0">
                  <c:v>0</c:v>
                </c:pt>
                <c:pt idx="1">
                  <c:v>30</c:v>
                </c:pt>
                <c:pt idx="2">
                  <c:v>60</c:v>
                </c:pt>
                <c:pt idx="3">
                  <c:v>90</c:v>
                </c:pt>
                <c:pt idx="4">
                  <c:v>120</c:v>
                </c:pt>
                <c:pt idx="5">
                  <c:v>150</c:v>
                </c:pt>
                <c:pt idx="6">
                  <c:v>180</c:v>
                </c:pt>
              </c:numCache>
            </c:numRef>
          </c:xVal>
          <c:yVal>
            <c:numRef>
              <c:f>工作表1!B35:H35</c:f>
              <c:numCache>
                <c:formatCode>General</c:formatCode>
                <c:ptCount val="7"/>
                <c:pt idx="0">
                  <c:v>1E-3</c:v>
                </c:pt>
                <c:pt idx="1">
                  <c:v>1.7000000000000001E-2</c:v>
                </c:pt>
                <c:pt idx="2">
                  <c:v>2.9000000000000001E-2</c:v>
                </c:pt>
                <c:pt idx="3">
                  <c:v>5.1999999999999998E-2</c:v>
                </c:pt>
                <c:pt idx="4">
                  <c:v>7.1999999999999995E-2</c:v>
                </c:pt>
                <c:pt idx="5">
                  <c:v>9.6000000000000002E-2</c:v>
                </c:pt>
                <c:pt idx="6">
                  <c:v>0.123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EF4-49C8-B843-2B6D4EE79F9B}"/>
            </c:ext>
          </c:extLst>
        </c:ser>
        <c:ser>
          <c:idx val="3"/>
          <c:order val="3"/>
          <c:tx>
            <c:strRef>
              <c:f>{"PNPP 50 μl"}</c:f>
              <c:strCache>
                <c:ptCount val="1"/>
                <c:pt idx="0">
                  <c:v>PNPP 50 μl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10731543692173613"/>
                  <c:y val="7.555373386545859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rgbClr val="FFC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工作表1!B12:H12</c:f>
              <c:numCache>
                <c:formatCode>General</c:formatCode>
                <c:ptCount val="7"/>
                <c:pt idx="0">
                  <c:v>0</c:v>
                </c:pt>
                <c:pt idx="1">
                  <c:v>30</c:v>
                </c:pt>
                <c:pt idx="2">
                  <c:v>60</c:v>
                </c:pt>
                <c:pt idx="3">
                  <c:v>90</c:v>
                </c:pt>
                <c:pt idx="4">
                  <c:v>120</c:v>
                </c:pt>
                <c:pt idx="5">
                  <c:v>150</c:v>
                </c:pt>
                <c:pt idx="6">
                  <c:v>180</c:v>
                </c:pt>
              </c:numCache>
            </c:numRef>
          </c:xVal>
          <c:yVal>
            <c:numRef>
              <c:f>工作表1!B36:H36</c:f>
              <c:numCache>
                <c:formatCode>General</c:formatCode>
                <c:ptCount val="7"/>
                <c:pt idx="0">
                  <c:v>1.7999999999999999E-2</c:v>
                </c:pt>
                <c:pt idx="1">
                  <c:v>5.7000000000000002E-2</c:v>
                </c:pt>
                <c:pt idx="2">
                  <c:v>9.4E-2</c:v>
                </c:pt>
                <c:pt idx="3">
                  <c:v>0.13300000000000001</c:v>
                </c:pt>
                <c:pt idx="4">
                  <c:v>0.17199999999999999</c:v>
                </c:pt>
                <c:pt idx="5">
                  <c:v>0.215</c:v>
                </c:pt>
                <c:pt idx="6">
                  <c:v>0.25700000000000001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EF4-49C8-B843-2B6D4EE79F9B}"/>
            </c:ext>
          </c:extLst>
        </c:ser>
        <c:ser>
          <c:idx val="4"/>
          <c:order val="4"/>
          <c:tx>
            <c:strRef>
              <c:f>{"PNPP 100μl"}</c:f>
              <c:strCache>
                <c:ptCount val="1"/>
                <c:pt idx="0">
                  <c:v>PNPP 100μl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1098894394957388"/>
                  <c:y val="-2.891338582677165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rgbClr val="4472C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工作表1!B12:H12</c:f>
              <c:numCache>
                <c:formatCode>General</c:formatCode>
                <c:ptCount val="7"/>
                <c:pt idx="0">
                  <c:v>0</c:v>
                </c:pt>
                <c:pt idx="1">
                  <c:v>30</c:v>
                </c:pt>
                <c:pt idx="2">
                  <c:v>60</c:v>
                </c:pt>
                <c:pt idx="3">
                  <c:v>90</c:v>
                </c:pt>
                <c:pt idx="4">
                  <c:v>120</c:v>
                </c:pt>
                <c:pt idx="5">
                  <c:v>150</c:v>
                </c:pt>
                <c:pt idx="6">
                  <c:v>180</c:v>
                </c:pt>
              </c:numCache>
            </c:numRef>
          </c:xVal>
          <c:yVal>
            <c:numRef>
              <c:f>工作表1!B37:H37</c:f>
              <c:numCache>
                <c:formatCode>General</c:formatCode>
                <c:ptCount val="7"/>
                <c:pt idx="0">
                  <c:v>1.4999999999999999E-2</c:v>
                </c:pt>
                <c:pt idx="1">
                  <c:v>5.0999999999999997E-2</c:v>
                </c:pt>
                <c:pt idx="2">
                  <c:v>9.1999999999999998E-2</c:v>
                </c:pt>
                <c:pt idx="3">
                  <c:v>0.14099999999999999</c:v>
                </c:pt>
                <c:pt idx="4">
                  <c:v>0.189</c:v>
                </c:pt>
                <c:pt idx="5">
                  <c:v>0.23799999999999999</c:v>
                </c:pt>
                <c:pt idx="6">
                  <c:v>0.28699999999999998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AD4-421A-9BA4-6E10434E18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5905416"/>
        <c:axId val="1565907976"/>
      </c:scatterChart>
      <c:valAx>
        <c:axId val="1565905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5907976"/>
        <c:crosses val="autoZero"/>
        <c:crossBetween val="midCat"/>
      </c:valAx>
      <c:valAx>
        <c:axId val="1565907976"/>
        <c:scaling>
          <c:orientation val="minMax"/>
          <c:max val="0.6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59054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ALP </a:t>
            </a:r>
            <a:r>
              <a:rPr lang="ja-JP" altLang="en-US"/>
              <a:t>在不同濃度的酵素抑制劑下的動力學曲線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{"A情形"}</c:f>
              <c:strCache>
                <c:ptCount val="1"/>
                <c:pt idx="0">
                  <c:v>A情形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工作表1!L13:L17</c:f>
              <c:numCache>
                <c:formatCode>General</c:formatCode>
                <c:ptCount val="5"/>
                <c:pt idx="0">
                  <c:v>25</c:v>
                </c:pt>
                <c:pt idx="1">
                  <c:v>50</c:v>
                </c:pt>
                <c:pt idx="2">
                  <c:v>125</c:v>
                </c:pt>
                <c:pt idx="3">
                  <c:v>250</c:v>
                </c:pt>
                <c:pt idx="4">
                  <c:v>500</c:v>
                </c:pt>
              </c:numCache>
            </c:numRef>
          </c:xVal>
          <c:yVal>
            <c:numRef>
              <c:f>工作表1!J13:J17</c:f>
              <c:numCache>
                <c:formatCode>General</c:formatCode>
                <c:ptCount val="5"/>
                <c:pt idx="0">
                  <c:v>1.5957446808510637E-3</c:v>
                </c:pt>
                <c:pt idx="1">
                  <c:v>4.1489361702127655E-3</c:v>
                </c:pt>
                <c:pt idx="2">
                  <c:v>6.7021276595744675E-3</c:v>
                </c:pt>
                <c:pt idx="3">
                  <c:v>7.9787234042553185E-3</c:v>
                </c:pt>
                <c:pt idx="4">
                  <c:v>7.9787234042553185E-3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D90-46C0-ADA9-E5B3A7F3C141}"/>
            </c:ext>
          </c:extLst>
        </c:ser>
        <c:ser>
          <c:idx val="1"/>
          <c:order val="1"/>
          <c:tx>
            <c:strRef>
              <c:f>{"B情形"}</c:f>
              <c:strCache>
                <c:ptCount val="1"/>
                <c:pt idx="0">
                  <c:v>B情形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工作表1!L18:L22</c:f>
              <c:numCache>
                <c:formatCode>General</c:formatCode>
                <c:ptCount val="5"/>
                <c:pt idx="0">
                  <c:v>25</c:v>
                </c:pt>
                <c:pt idx="1">
                  <c:v>50</c:v>
                </c:pt>
                <c:pt idx="2">
                  <c:v>125</c:v>
                </c:pt>
                <c:pt idx="3">
                  <c:v>250</c:v>
                </c:pt>
                <c:pt idx="4">
                  <c:v>500</c:v>
                </c:pt>
              </c:numCache>
            </c:numRef>
          </c:xVal>
          <c:yVal>
            <c:numRef>
              <c:f>工作表1!J18:J22</c:f>
              <c:numCache>
                <c:formatCode>General</c:formatCode>
                <c:ptCount val="5"/>
                <c:pt idx="0">
                  <c:v>9.5744680851063814E-4</c:v>
                </c:pt>
                <c:pt idx="1">
                  <c:v>3.1914893617021275E-3</c:v>
                </c:pt>
                <c:pt idx="2">
                  <c:v>5.4255319148936165E-3</c:v>
                </c:pt>
                <c:pt idx="3">
                  <c:v>7.9787234042553185E-3</c:v>
                </c:pt>
                <c:pt idx="4">
                  <c:v>8.9361702127659579E-3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4D90-46C0-ADA9-E5B3A7F3C141}"/>
            </c:ext>
          </c:extLst>
        </c:ser>
        <c:ser>
          <c:idx val="2"/>
          <c:order val="2"/>
          <c:tx>
            <c:strRef>
              <c:f>{"C情形"}</c:f>
              <c:strCache>
                <c:ptCount val="1"/>
                <c:pt idx="0">
                  <c:v>C情形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工作表1!L23:L27</c:f>
              <c:numCache>
                <c:formatCode>General</c:formatCode>
                <c:ptCount val="5"/>
                <c:pt idx="0">
                  <c:v>25</c:v>
                </c:pt>
                <c:pt idx="1">
                  <c:v>50</c:v>
                </c:pt>
                <c:pt idx="2">
                  <c:v>125</c:v>
                </c:pt>
                <c:pt idx="3">
                  <c:v>250</c:v>
                </c:pt>
                <c:pt idx="4">
                  <c:v>500</c:v>
                </c:pt>
              </c:numCache>
            </c:numRef>
          </c:xVal>
          <c:yVal>
            <c:numRef>
              <c:f>工作表1!J23:J27</c:f>
              <c:numCache>
                <c:formatCode>General</c:formatCode>
                <c:ptCount val="5"/>
                <c:pt idx="0">
                  <c:v>1.276595744680851E-3</c:v>
                </c:pt>
                <c:pt idx="1">
                  <c:v>2.2340425531914895E-3</c:v>
                </c:pt>
                <c:pt idx="2">
                  <c:v>3.8297872340425526E-3</c:v>
                </c:pt>
                <c:pt idx="3">
                  <c:v>6.382978723404255E-3</c:v>
                </c:pt>
                <c:pt idx="4">
                  <c:v>7.3404255319148943E-3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4D90-46C0-ADA9-E5B3A7F3C141}"/>
            </c:ext>
          </c:extLst>
        </c:ser>
        <c:ser>
          <c:idx val="3"/>
          <c:order val="3"/>
          <c:tx>
            <c:strRef>
              <c:f>{"D情形"}</c:f>
              <c:strCache>
                <c:ptCount val="1"/>
                <c:pt idx="0">
                  <c:v>D情形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工作表1!L28:L32</c:f>
              <c:numCache>
                <c:formatCode>General</c:formatCode>
                <c:ptCount val="5"/>
                <c:pt idx="0">
                  <c:v>25</c:v>
                </c:pt>
                <c:pt idx="1">
                  <c:v>50</c:v>
                </c:pt>
                <c:pt idx="2">
                  <c:v>125</c:v>
                </c:pt>
                <c:pt idx="3">
                  <c:v>250</c:v>
                </c:pt>
                <c:pt idx="4">
                  <c:v>500</c:v>
                </c:pt>
              </c:numCache>
            </c:numRef>
          </c:xVal>
          <c:yVal>
            <c:numRef>
              <c:f>工作表1!J28:J32</c:f>
              <c:numCache>
                <c:formatCode>General</c:formatCode>
                <c:ptCount val="5"/>
                <c:pt idx="0">
                  <c:v>9.5744680851063814E-4</c:v>
                </c:pt>
                <c:pt idx="1">
                  <c:v>1.5957446808510637E-3</c:v>
                </c:pt>
                <c:pt idx="2">
                  <c:v>3.1914893617021275E-3</c:v>
                </c:pt>
                <c:pt idx="3">
                  <c:v>4.1489361702127655E-3</c:v>
                </c:pt>
                <c:pt idx="4">
                  <c:v>7.0212765957446809E-3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4D90-46C0-ADA9-E5B3A7F3C141}"/>
            </c:ext>
          </c:extLst>
        </c:ser>
        <c:ser>
          <c:idx val="4"/>
          <c:order val="4"/>
          <c:tx>
            <c:strRef>
              <c:f>{"E情形"}</c:f>
              <c:strCache>
                <c:ptCount val="1"/>
                <c:pt idx="0">
                  <c:v>E情形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工作表1!L33:L37</c:f>
              <c:numCache>
                <c:formatCode>General</c:formatCode>
                <c:ptCount val="5"/>
                <c:pt idx="0">
                  <c:v>25</c:v>
                </c:pt>
                <c:pt idx="1">
                  <c:v>50</c:v>
                </c:pt>
                <c:pt idx="2">
                  <c:v>125</c:v>
                </c:pt>
                <c:pt idx="3">
                  <c:v>250</c:v>
                </c:pt>
                <c:pt idx="4">
                  <c:v>500</c:v>
                </c:pt>
              </c:numCache>
            </c:numRef>
          </c:xVal>
          <c:yVal>
            <c:numRef>
              <c:f>工作表1!J33:J37</c:f>
              <c:numCache>
                <c:formatCode>General</c:formatCode>
                <c:ptCount val="5"/>
                <c:pt idx="0">
                  <c:v>2.8723404255319147E-4</c:v>
                </c:pt>
                <c:pt idx="1">
                  <c:v>9.5744680851063814E-4</c:v>
                </c:pt>
                <c:pt idx="2">
                  <c:v>2.2340425531914895E-3</c:v>
                </c:pt>
                <c:pt idx="3">
                  <c:v>4.1489361702127655E-3</c:v>
                </c:pt>
                <c:pt idx="4">
                  <c:v>4.7872340425531915E-3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4D90-46C0-ADA9-E5B3A7F3C1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4741896"/>
        <c:axId val="1664743944"/>
      </c:scatterChart>
      <c:valAx>
        <c:axId val="1664741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PNPP</a:t>
                </a:r>
                <a:r>
                  <a:rPr lang="ja-JP" altLang="en-US"/>
                  <a:t>濃度 </a:t>
                </a:r>
                <a:r>
                  <a:rPr lang="en-US" altLang="ja-JP"/>
                  <a:t>(</a:t>
                </a:r>
                <a:r>
                  <a:rPr lang="el-GR" altLang="ja-JP"/>
                  <a:t>μ</a:t>
                </a:r>
                <a:r>
                  <a:rPr lang="en-US" altLang="ja-JP"/>
                  <a:t>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4743944"/>
        <c:crosses val="autoZero"/>
        <c:crossBetween val="midCat"/>
      </c:valAx>
      <c:valAx>
        <c:axId val="1664743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V (</a:t>
                </a:r>
                <a:r>
                  <a:rPr lang="el-GR" altLang="ja-JP"/>
                  <a:t>μ </a:t>
                </a:r>
                <a:r>
                  <a:rPr lang="en-US" altLang="ja-JP"/>
                  <a:t>mole/min)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47418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Lineweaver-Burk plot </a:t>
            </a:r>
            <a:r>
              <a:rPr lang="ja-JP" altLang="en-US"/>
              <a:t>作圖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A情形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2700" cap="rnd">
                <a:solidFill>
                  <a:srgbClr val="5B9BD5"/>
                </a:solidFill>
                <a:prstDash val="solid"/>
              </a:ln>
              <a:effectLst/>
            </c:spPr>
            <c:trendlineType val="linear"/>
            <c:forward val="0.02"/>
            <c:backward val="0.03"/>
            <c:dispRSqr val="0"/>
            <c:dispEq val="1"/>
            <c:trendlineLbl>
              <c:layout>
                <c:manualLayout>
                  <c:x val="4.6743083344090185E-2"/>
                  <c:y val="7.614011591659547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rgbClr val="5B9BD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工作表1!M14:M17</c:f>
              <c:numCache>
                <c:formatCode>General</c:formatCode>
                <c:ptCount val="4"/>
                <c:pt idx="0">
                  <c:v>0.02</c:v>
                </c:pt>
                <c:pt idx="1">
                  <c:v>8.0000000000000002E-3</c:v>
                </c:pt>
                <c:pt idx="2">
                  <c:v>4.0000000000000001E-3</c:v>
                </c:pt>
                <c:pt idx="3">
                  <c:v>2E-3</c:v>
                </c:pt>
              </c:numCache>
            </c:numRef>
          </c:xVal>
          <c:yVal>
            <c:numRef>
              <c:f>工作表1!K14:K17</c:f>
              <c:numCache>
                <c:formatCode>General</c:formatCode>
                <c:ptCount val="4"/>
                <c:pt idx="0">
                  <c:v>241.02564102564105</c:v>
                </c:pt>
                <c:pt idx="1">
                  <c:v>149.20634920634922</c:v>
                </c:pt>
                <c:pt idx="2">
                  <c:v>125.33333333333334</c:v>
                </c:pt>
                <c:pt idx="3">
                  <c:v>125.33333333333334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62B-4F65-9C75-5D1DD0594B89}"/>
            </c:ext>
          </c:extLst>
        </c:ser>
        <c:ser>
          <c:idx val="1"/>
          <c:order val="1"/>
          <c:tx>
            <c:v>B情形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2700" cap="flat" cmpd="sng" algn="ctr">
                <a:solidFill>
                  <a:srgbClr val="ED7D3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  <c:trendlineType val="linear"/>
            <c:forward val="0.02"/>
            <c:backward val="0.03"/>
            <c:dispRSqr val="0"/>
            <c:dispEq val="1"/>
            <c:trendlineLbl>
              <c:layout>
                <c:manualLayout>
                  <c:x val="4.1486166688180372E-2"/>
                  <c:y val="6.393269756236481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rgbClr val="ED7D3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工作表1!M19:M22</c:f>
              <c:numCache>
                <c:formatCode>General</c:formatCode>
                <c:ptCount val="4"/>
                <c:pt idx="0">
                  <c:v>0.02</c:v>
                </c:pt>
                <c:pt idx="1">
                  <c:v>8.0000000000000002E-3</c:v>
                </c:pt>
                <c:pt idx="2">
                  <c:v>4.0000000000000001E-3</c:v>
                </c:pt>
                <c:pt idx="3">
                  <c:v>2E-3</c:v>
                </c:pt>
              </c:numCache>
            </c:numRef>
          </c:xVal>
          <c:yVal>
            <c:numRef>
              <c:f>工作表1!K19:K22</c:f>
              <c:numCache>
                <c:formatCode>General</c:formatCode>
                <c:ptCount val="4"/>
                <c:pt idx="0">
                  <c:v>313.33333333333337</c:v>
                </c:pt>
                <c:pt idx="1">
                  <c:v>184.31372549019611</c:v>
                </c:pt>
                <c:pt idx="2">
                  <c:v>125.33333333333334</c:v>
                </c:pt>
                <c:pt idx="3">
                  <c:v>111.9047619047619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62B-4F65-9C75-5D1DD0594B89}"/>
            </c:ext>
          </c:extLst>
        </c:ser>
        <c:ser>
          <c:idx val="2"/>
          <c:order val="2"/>
          <c:tx>
            <c:v>C情形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2700" cap="rnd">
                <a:solidFill>
                  <a:srgbClr val="A5A5A5"/>
                </a:solidFill>
                <a:prstDash val="solid"/>
              </a:ln>
              <a:effectLst/>
            </c:spPr>
            <c:trendlineType val="linear"/>
            <c:backward val="0.03"/>
            <c:dispRSqr val="0"/>
            <c:dispEq val="1"/>
            <c:trendlineLbl>
              <c:layout>
                <c:manualLayout>
                  <c:x val="4.3671959037907146E-2"/>
                  <c:y val="4.978317592998822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rgbClr val="A5A5A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工作表1!M23:M27</c:f>
              <c:numCache>
                <c:formatCode>General</c:formatCode>
                <c:ptCount val="5"/>
                <c:pt idx="0">
                  <c:v>0.04</c:v>
                </c:pt>
                <c:pt idx="1">
                  <c:v>0.02</c:v>
                </c:pt>
                <c:pt idx="2">
                  <c:v>8.0000000000000002E-3</c:v>
                </c:pt>
                <c:pt idx="3">
                  <c:v>4.0000000000000001E-3</c:v>
                </c:pt>
                <c:pt idx="4">
                  <c:v>2E-3</c:v>
                </c:pt>
              </c:numCache>
            </c:numRef>
          </c:xVal>
          <c:yVal>
            <c:numRef>
              <c:f>工作表1!K23:K27</c:f>
              <c:numCache>
                <c:formatCode>General</c:formatCode>
                <c:ptCount val="5"/>
                <c:pt idx="0">
                  <c:v>783.33333333333337</c:v>
                </c:pt>
                <c:pt idx="1">
                  <c:v>447.61904761904759</c:v>
                </c:pt>
                <c:pt idx="2">
                  <c:v>261.11111111111114</c:v>
                </c:pt>
                <c:pt idx="3">
                  <c:v>156.66666666666669</c:v>
                </c:pt>
                <c:pt idx="4">
                  <c:v>136.231884057971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62B-4F65-9C75-5D1DD0594B89}"/>
            </c:ext>
          </c:extLst>
        </c:ser>
        <c:ser>
          <c:idx val="3"/>
          <c:order val="3"/>
          <c:tx>
            <c:v>D情形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2700" cap="flat" cmpd="sng" algn="ctr">
                <a:solidFill>
                  <a:srgbClr val="FFC000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  <c:trendlineType val="linear"/>
            <c:backward val="0.03"/>
            <c:dispRSqr val="0"/>
            <c:dispEq val="1"/>
            <c:trendlineLbl>
              <c:layout>
                <c:manualLayout>
                  <c:x val="2.9409750010756852E-2"/>
                  <c:y val="-3.720414713556699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rgbClr val="FFC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工作表1!M28:M32</c:f>
              <c:numCache>
                <c:formatCode>General</c:formatCode>
                <c:ptCount val="5"/>
                <c:pt idx="0">
                  <c:v>0.04</c:v>
                </c:pt>
                <c:pt idx="1">
                  <c:v>0.02</c:v>
                </c:pt>
                <c:pt idx="2">
                  <c:v>8.0000000000000002E-3</c:v>
                </c:pt>
                <c:pt idx="3">
                  <c:v>4.0000000000000001E-3</c:v>
                </c:pt>
                <c:pt idx="4">
                  <c:v>2E-3</c:v>
                </c:pt>
              </c:numCache>
            </c:numRef>
          </c:xVal>
          <c:yVal>
            <c:numRef>
              <c:f>工作表1!K28:K32</c:f>
              <c:numCache>
                <c:formatCode>General</c:formatCode>
                <c:ptCount val="5"/>
                <c:pt idx="0">
                  <c:v>1044.4444444444446</c:v>
                </c:pt>
                <c:pt idx="1">
                  <c:v>626.66666666666674</c:v>
                </c:pt>
                <c:pt idx="2">
                  <c:v>313.33333333333337</c:v>
                </c:pt>
                <c:pt idx="3">
                  <c:v>241.02564102564105</c:v>
                </c:pt>
                <c:pt idx="4">
                  <c:v>142.42424242424244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62B-4F65-9C75-5D1DD0594B89}"/>
            </c:ext>
          </c:extLst>
        </c:ser>
        <c:ser>
          <c:idx val="4"/>
          <c:order val="4"/>
          <c:tx>
            <c:v>E情形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2700" cap="flat" cmpd="sng" algn="ctr">
                <a:solidFill>
                  <a:srgbClr val="4472C4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  <c:trendlineType val="linear"/>
            <c:forward val="0.02"/>
            <c:backward val="0.03"/>
            <c:dispRSqr val="0"/>
            <c:dispEq val="1"/>
            <c:trendlineLbl>
              <c:layout>
                <c:manualLayout>
                  <c:x val="5.459007787960931E-2"/>
                  <c:y val="9.00744298458293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rgbClr val="4472C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工作表1!M34:M37</c:f>
              <c:numCache>
                <c:formatCode>General</c:formatCode>
                <c:ptCount val="4"/>
                <c:pt idx="0">
                  <c:v>0.02</c:v>
                </c:pt>
                <c:pt idx="1">
                  <c:v>8.0000000000000002E-3</c:v>
                </c:pt>
                <c:pt idx="2">
                  <c:v>4.0000000000000001E-3</c:v>
                </c:pt>
                <c:pt idx="3">
                  <c:v>2E-3</c:v>
                </c:pt>
              </c:numCache>
            </c:numRef>
          </c:xVal>
          <c:yVal>
            <c:numRef>
              <c:f>工作表1!K34:K37</c:f>
              <c:numCache>
                <c:formatCode>General</c:formatCode>
                <c:ptCount val="4"/>
                <c:pt idx="0">
                  <c:v>1044.4444444444446</c:v>
                </c:pt>
                <c:pt idx="1">
                  <c:v>447.61904761904759</c:v>
                </c:pt>
                <c:pt idx="2">
                  <c:v>241.02564102564105</c:v>
                </c:pt>
                <c:pt idx="3">
                  <c:v>208.88888888888889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62B-4F65-9C75-5D1DD0594B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9394567"/>
        <c:axId val="339396615"/>
      </c:scatterChart>
      <c:valAx>
        <c:axId val="339394567"/>
        <c:scaling>
          <c:orientation val="minMax"/>
          <c:max val="0.04"/>
          <c:min val="-0.0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1/[S]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9396615"/>
        <c:crosses val="autoZero"/>
        <c:crossBetween val="midCat"/>
      </c:valAx>
      <c:valAx>
        <c:axId val="339396615"/>
        <c:scaling>
          <c:orientation val="minMax"/>
          <c:max val="2000"/>
          <c:min val="-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1/V (min/ </a:t>
                </a:r>
                <a:r>
                  <a:rPr lang="el-GR" altLang="ja-JP"/>
                  <a:t>μ </a:t>
                </a:r>
                <a:r>
                  <a:rPr lang="en-US" altLang="ja-JP"/>
                  <a:t>mole)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93945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7.2279714025164671E-2"/>
          <c:y val="0.85152511913589957"/>
          <c:w val="0.85786928273310104"/>
          <c:h val="0.1261006303830789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抑制劑跟</a:t>
            </a:r>
            <a:r>
              <a:rPr lang="en-US" altLang="ja-JP"/>
              <a:t>Km</a:t>
            </a:r>
            <a:r>
              <a:rPr lang="ja-JP" altLang="en-US"/>
              <a:t>的關係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{"Km 值"}</c:f>
              <c:strCache>
                <c:ptCount val="1"/>
                <c:pt idx="0">
                  <c:v>Km 值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rgbClr val="7030A0"/>
              </a:solidFill>
              <a:ln w="9525">
                <a:solidFill>
                  <a:srgbClr val="7030A0"/>
                </a:solidFill>
                <a:prstDash val="solid"/>
              </a:ln>
              <a:effectLst/>
            </c:spPr>
          </c:marker>
          <c:trendline>
            <c:spPr>
              <a:ln w="19050" cap="rnd">
                <a:solidFill>
                  <a:srgbClr val="75717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工作表1!B42:B46</c:f>
              <c:numCache>
                <c:formatCode>General</c:formatCode>
                <c:ptCount val="5"/>
                <c:pt idx="0">
                  <c:v>0</c:v>
                </c:pt>
                <c:pt idx="1">
                  <c:v>50</c:v>
                </c:pt>
                <c:pt idx="2">
                  <c:v>200</c:v>
                </c:pt>
                <c:pt idx="3">
                  <c:v>500</c:v>
                </c:pt>
                <c:pt idx="4">
                  <c:v>1000</c:v>
                </c:pt>
              </c:numCache>
            </c:numRef>
          </c:xVal>
          <c:yVal>
            <c:numRef>
              <c:f>工作表1!F42:F46</c:f>
              <c:numCache>
                <c:formatCode>General</c:formatCode>
                <c:ptCount val="5"/>
                <c:pt idx="0">
                  <c:v>65.807299270072988</c:v>
                </c:pt>
                <c:pt idx="1">
                  <c:v>130.90925817320408</c:v>
                </c:pt>
                <c:pt idx="2">
                  <c:v>162.83312637310155</c:v>
                </c:pt>
                <c:pt idx="3">
                  <c:v>180.48837209302326</c:v>
                </c:pt>
                <c:pt idx="4">
                  <c:v>613.20247722387137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620-4F1E-AF1E-4CB652535A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9641863"/>
        <c:axId val="1659643911"/>
      </c:scatterChart>
      <c:valAx>
        <c:axId val="16596418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抑制劑濃度 </a:t>
                </a:r>
                <a:r>
                  <a:rPr lang="en-US" altLang="ja-JP"/>
                  <a:t>(</a:t>
                </a:r>
                <a:r>
                  <a:rPr lang="el-GR" altLang="ja-JP"/>
                  <a:t>μ</a:t>
                </a:r>
                <a:r>
                  <a:rPr lang="en-US" altLang="ja-JP"/>
                  <a:t>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9643911"/>
        <c:crosses val="autoZero"/>
        <c:crossBetween val="midCat"/>
      </c:valAx>
      <c:valAx>
        <c:axId val="1659643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Km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96418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抑制劑跟</a:t>
            </a:r>
            <a:r>
              <a:rPr lang="en-US" altLang="ja-JP"/>
              <a:t>Vmax</a:t>
            </a:r>
            <a:r>
              <a:rPr lang="ja-JP" altLang="en-US"/>
              <a:t>的關係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{"Vmax 值"}</c:f>
              <c:strCache>
                <c:ptCount val="1"/>
                <c:pt idx="0">
                  <c:v>Vmax 值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rgbClr val="70AD47"/>
              </a:solidFill>
              <a:ln w="9525">
                <a:solidFill>
                  <a:srgbClr val="70AD47"/>
                </a:solidFill>
                <a:prstDash val="solid"/>
              </a:ln>
              <a:effectLst/>
            </c:spPr>
          </c:marker>
          <c:trendline>
            <c:spPr>
              <a:ln w="19050" cap="rnd">
                <a:solidFill>
                  <a:srgbClr val="808080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工作表1!B42:B46</c:f>
              <c:numCache>
                <c:formatCode>General</c:formatCode>
                <c:ptCount val="5"/>
                <c:pt idx="0">
                  <c:v>0</c:v>
                </c:pt>
                <c:pt idx="1">
                  <c:v>50</c:v>
                </c:pt>
                <c:pt idx="2">
                  <c:v>200</c:v>
                </c:pt>
                <c:pt idx="3">
                  <c:v>500</c:v>
                </c:pt>
                <c:pt idx="4">
                  <c:v>1000</c:v>
                </c:pt>
              </c:numCache>
            </c:numRef>
          </c:xVal>
          <c:yVal>
            <c:numRef>
              <c:f>工作表1!E42:E46</c:f>
              <c:numCache>
                <c:formatCode>General</c:formatCode>
                <c:ptCount val="5"/>
                <c:pt idx="0">
                  <c:v>9.7323600973236012E-3</c:v>
                </c:pt>
                <c:pt idx="1">
                  <c:v>1.1499407780499304E-2</c:v>
                </c:pt>
                <c:pt idx="2">
                  <c:v>9.5520106982519819E-3</c:v>
                </c:pt>
                <c:pt idx="3">
                  <c:v>7.7519379844961239E-3</c:v>
                </c:pt>
                <c:pt idx="4">
                  <c:v>1.2795577848295629E-2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336-4771-8854-30196EC38E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9641863"/>
        <c:axId val="1659643911"/>
      </c:scatterChart>
      <c:valAx>
        <c:axId val="16596418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抑制劑濃度 </a:t>
                </a:r>
                <a:r>
                  <a:rPr lang="en-US" altLang="ja-JP"/>
                  <a:t>(</a:t>
                </a:r>
                <a:r>
                  <a:rPr lang="el-GR" altLang="ja-JP"/>
                  <a:t>μ</a:t>
                </a:r>
                <a:r>
                  <a:rPr lang="en-US" altLang="ja-JP"/>
                  <a:t>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9643911"/>
        <c:crosses val="autoZero"/>
        <c:crossBetween val="midCat"/>
      </c:valAx>
      <c:valAx>
        <c:axId val="1659643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Vmax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96418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419100</xdr:colOff>
      <xdr:row>0</xdr:row>
      <xdr:rowOff>9525</xdr:rowOff>
    </xdr:from>
    <xdr:to>
      <xdr:col>20</xdr:col>
      <xdr:colOff>466725</xdr:colOff>
      <xdr:row>18</xdr:row>
      <xdr:rowOff>76200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9E3CB360-2772-DD40-EFC1-B1A69467492D}"/>
            </a:ext>
            <a:ext uri="{147F2762-F138-4A5C-976F-8EAC2B608ADB}">
              <a16:predDERef xmlns:a16="http://schemas.microsoft.com/office/drawing/2014/main" pred="{517905FB-7CBF-451E-35F3-D8FCA9D869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457200</xdr:colOff>
      <xdr:row>0</xdr:row>
      <xdr:rowOff>9525</xdr:rowOff>
    </xdr:from>
    <xdr:to>
      <xdr:col>28</xdr:col>
      <xdr:colOff>514350</xdr:colOff>
      <xdr:row>18</xdr:row>
      <xdr:rowOff>76200</xdr:rowOff>
    </xdr:to>
    <xdr:graphicFrame macro="">
      <xdr:nvGraphicFramePr>
        <xdr:cNvPr id="5" name="圖表 4">
          <a:extLst>
            <a:ext uri="{FF2B5EF4-FFF2-40B4-BE49-F238E27FC236}">
              <a16:creationId xmlns:a16="http://schemas.microsoft.com/office/drawing/2014/main" id="{C40CC251-EDDE-4930-910D-C4A9A4C49826}"/>
            </a:ext>
            <a:ext uri="{147F2762-F138-4A5C-976F-8EAC2B608ADB}">
              <a16:predDERef xmlns:a16="http://schemas.microsoft.com/office/drawing/2014/main" pred="{9E3CB360-2772-DD40-EFC1-B1A6946749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28</xdr:col>
      <xdr:colOff>504825</xdr:colOff>
      <xdr:row>0</xdr:row>
      <xdr:rowOff>0</xdr:rowOff>
    </xdr:from>
    <xdr:to>
      <xdr:col>36</xdr:col>
      <xdr:colOff>542925</xdr:colOff>
      <xdr:row>18</xdr:row>
      <xdr:rowOff>76200</xdr:rowOff>
    </xdr:to>
    <xdr:graphicFrame macro="">
      <xdr:nvGraphicFramePr>
        <xdr:cNvPr id="6" name="圖表 5">
          <a:extLst>
            <a:ext uri="{FF2B5EF4-FFF2-40B4-BE49-F238E27FC236}">
              <a16:creationId xmlns:a16="http://schemas.microsoft.com/office/drawing/2014/main" id="{0208D8B9-F008-4691-840D-80239AABC1CE}"/>
            </a:ext>
            <a:ext uri="{147F2762-F138-4A5C-976F-8EAC2B608ADB}">
              <a16:predDERef xmlns:a16="http://schemas.microsoft.com/office/drawing/2014/main" pred="{C40CC251-EDDE-4930-910D-C4A9A4C498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333375</xdr:colOff>
      <xdr:row>18</xdr:row>
      <xdr:rowOff>85725</xdr:rowOff>
    </xdr:from>
    <xdr:to>
      <xdr:col>23</xdr:col>
      <xdr:colOff>400050</xdr:colOff>
      <xdr:row>36</xdr:row>
      <xdr:rowOff>114300</xdr:rowOff>
    </xdr:to>
    <xdr:graphicFrame macro="">
      <xdr:nvGraphicFramePr>
        <xdr:cNvPr id="7" name="圖表 6">
          <a:extLst>
            <a:ext uri="{FF2B5EF4-FFF2-40B4-BE49-F238E27FC236}">
              <a16:creationId xmlns:a16="http://schemas.microsoft.com/office/drawing/2014/main" id="{704B5B01-719A-4C5E-8404-289B0A6A851E}"/>
            </a:ext>
            <a:ext uri="{147F2762-F138-4A5C-976F-8EAC2B608ADB}">
              <a16:predDERef xmlns:a16="http://schemas.microsoft.com/office/drawing/2014/main" pred="{0208D8B9-F008-4691-840D-80239AABC1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23</xdr:col>
      <xdr:colOff>400050</xdr:colOff>
      <xdr:row>18</xdr:row>
      <xdr:rowOff>66675</xdr:rowOff>
    </xdr:from>
    <xdr:to>
      <xdr:col>31</xdr:col>
      <xdr:colOff>457200</xdr:colOff>
      <xdr:row>36</xdr:row>
      <xdr:rowOff>114300</xdr:rowOff>
    </xdr:to>
    <xdr:graphicFrame macro="">
      <xdr:nvGraphicFramePr>
        <xdr:cNvPr id="8" name="圖表 7">
          <a:extLst>
            <a:ext uri="{FF2B5EF4-FFF2-40B4-BE49-F238E27FC236}">
              <a16:creationId xmlns:a16="http://schemas.microsoft.com/office/drawing/2014/main" id="{FDE26E66-1133-47E8-B47D-E9EE592CCBE6}"/>
            </a:ext>
            <a:ext uri="{147F2762-F138-4A5C-976F-8EAC2B608ADB}">
              <a16:predDERef xmlns:a16="http://schemas.microsoft.com/office/drawing/2014/main" pred="{704B5B01-719A-4C5E-8404-289B0A6A85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371475</xdr:colOff>
      <xdr:row>37</xdr:row>
      <xdr:rowOff>9525</xdr:rowOff>
    </xdr:from>
    <xdr:to>
      <xdr:col>12</xdr:col>
      <xdr:colOff>371475</xdr:colOff>
      <xdr:row>55</xdr:row>
      <xdr:rowOff>171450</xdr:rowOff>
    </xdr:to>
    <xdr:graphicFrame macro="">
      <xdr:nvGraphicFramePr>
        <xdr:cNvPr id="9" name="圖表 8">
          <a:extLst>
            <a:ext uri="{FF2B5EF4-FFF2-40B4-BE49-F238E27FC236}">
              <a16:creationId xmlns:a16="http://schemas.microsoft.com/office/drawing/2014/main" id="{5FD08338-8851-BF94-2D78-5BBB5FB1C5F1}"/>
            </a:ext>
            <a:ext uri="{147F2762-F138-4A5C-976F-8EAC2B608ADB}">
              <a16:predDERef xmlns:a16="http://schemas.microsoft.com/office/drawing/2014/main" pred="{FDE26E66-1133-47E8-B47D-E9EE592CCB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371475</xdr:colOff>
      <xdr:row>36</xdr:row>
      <xdr:rowOff>171450</xdr:rowOff>
    </xdr:from>
    <xdr:to>
      <xdr:col>21</xdr:col>
      <xdr:colOff>200025</xdr:colOff>
      <xdr:row>63</xdr:row>
      <xdr:rowOff>142875</xdr:rowOff>
    </xdr:to>
    <xdr:graphicFrame macro="">
      <xdr:nvGraphicFramePr>
        <xdr:cNvPr id="10" name="圖表 9">
          <a:extLst>
            <a:ext uri="{FF2B5EF4-FFF2-40B4-BE49-F238E27FC236}">
              <a16:creationId xmlns:a16="http://schemas.microsoft.com/office/drawing/2014/main" id="{EAC81753-9F94-19FA-BD5D-3C12B5A44AEB}"/>
            </a:ext>
            <a:ext uri="{147F2762-F138-4A5C-976F-8EAC2B608ADB}">
              <a16:predDERef xmlns:a16="http://schemas.microsoft.com/office/drawing/2014/main" pred="{5FD08338-8851-BF94-2D78-5BBB5FB1C5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371475</xdr:colOff>
      <xdr:row>56</xdr:row>
      <xdr:rowOff>0</xdr:rowOff>
    </xdr:from>
    <xdr:to>
      <xdr:col>7</xdr:col>
      <xdr:colOff>190500</xdr:colOff>
      <xdr:row>70</xdr:row>
      <xdr:rowOff>76200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080126EC-A465-41E5-3F6B-B17DC6B34561}"/>
            </a:ext>
            <a:ext uri="{147F2762-F138-4A5C-976F-8EAC2B608ADB}">
              <a16:predDERef xmlns:a16="http://schemas.microsoft.com/office/drawing/2014/main" pred="{EAC81753-9F94-19FA-BD5D-3C12B5A44A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7</xdr:col>
      <xdr:colOff>219075</xdr:colOff>
      <xdr:row>55</xdr:row>
      <xdr:rowOff>171450</xdr:rowOff>
    </xdr:from>
    <xdr:to>
      <xdr:col>12</xdr:col>
      <xdr:colOff>371475</xdr:colOff>
      <xdr:row>70</xdr:row>
      <xdr:rowOff>57150</xdr:rowOff>
    </xdr:to>
    <xdr:graphicFrame macro="">
      <xdr:nvGraphicFramePr>
        <xdr:cNvPr id="12" name="圖表 11">
          <a:extLst>
            <a:ext uri="{FF2B5EF4-FFF2-40B4-BE49-F238E27FC236}">
              <a16:creationId xmlns:a16="http://schemas.microsoft.com/office/drawing/2014/main" id="{28E42636-4EDC-4217-B055-A79C0A6895CA}"/>
            </a:ext>
            <a:ext uri="{147F2762-F138-4A5C-976F-8EAC2B608ADB}">
              <a16:predDERef xmlns:a16="http://schemas.microsoft.com/office/drawing/2014/main" pred="{080126EC-A465-41E5-3F6B-B17DC6B345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2:M46"/>
  <sheetViews>
    <sheetView tabSelected="1" topLeftCell="A52" workbookViewId="0">
      <selection activeCell="A41" sqref="A41:F46"/>
    </sheetView>
  </sheetViews>
  <sheetFormatPr defaultRowHeight="15"/>
  <cols>
    <col min="2" max="2" width="16.42578125" bestFit="1" customWidth="1"/>
    <col min="10" max="10" width="20" bestFit="1" customWidth="1"/>
    <col min="12" max="12" width="18.85546875" bestFit="1" customWidth="1"/>
    <col min="13" max="13" width="14.140625" bestFit="1" customWidth="1"/>
    <col min="14" max="14" width="9.42578125" bestFit="1" customWidth="1"/>
    <col min="15" max="15" width="20" bestFit="1" customWidth="1"/>
  </cols>
  <sheetData>
    <row r="12" spans="1:13" ht="16.5">
      <c r="A12" s="1" t="s">
        <v>0</v>
      </c>
      <c r="B12">
        <v>0</v>
      </c>
      <c r="C12">
        <v>30</v>
      </c>
      <c r="D12">
        <v>60</v>
      </c>
      <c r="E12">
        <v>90</v>
      </c>
      <c r="F12">
        <v>120</v>
      </c>
      <c r="G12">
        <v>150</v>
      </c>
      <c r="H12">
        <v>180</v>
      </c>
      <c r="I12" t="s">
        <v>1</v>
      </c>
      <c r="J12" t="s">
        <v>2</v>
      </c>
      <c r="K12" t="s">
        <v>3</v>
      </c>
      <c r="L12" t="s">
        <v>4</v>
      </c>
      <c r="M12" t="s">
        <v>5</v>
      </c>
    </row>
    <row r="13" spans="1:13">
      <c r="A13" s="3" t="s">
        <v>6</v>
      </c>
      <c r="B13">
        <v>1.4E-2</v>
      </c>
      <c r="C13">
        <v>2.8000000000000001E-2</v>
      </c>
      <c r="D13">
        <v>4.5999999999999999E-2</v>
      </c>
      <c r="E13">
        <v>6.0999999999999999E-2</v>
      </c>
      <c r="F13">
        <v>7.6999999999999999E-2</v>
      </c>
      <c r="G13">
        <v>9.2999999999999999E-2</v>
      </c>
      <c r="H13">
        <v>0.108</v>
      </c>
      <c r="I13">
        <v>5.0000000000000001E-4</v>
      </c>
      <c r="J13">
        <f>I13*60/18.8</f>
        <v>1.5957446808510637E-3</v>
      </c>
      <c r="K13">
        <f>1/J13</f>
        <v>626.66666666666674</v>
      </c>
      <c r="L13">
        <v>25</v>
      </c>
      <c r="M13">
        <f>1/L13</f>
        <v>0.04</v>
      </c>
    </row>
    <row r="14" spans="1:13">
      <c r="A14" t="s">
        <v>7</v>
      </c>
      <c r="B14">
        <v>0.02</v>
      </c>
      <c r="C14">
        <v>6.0999999999999999E-2</v>
      </c>
      <c r="D14">
        <v>9.9000000000000005E-2</v>
      </c>
      <c r="E14">
        <v>0.13700000000000001</v>
      </c>
      <c r="F14">
        <v>0.17599999999999999</v>
      </c>
      <c r="G14">
        <v>0.214</v>
      </c>
      <c r="H14">
        <v>0.247</v>
      </c>
      <c r="I14">
        <v>1.2999999999999999E-3</v>
      </c>
      <c r="J14">
        <f t="shared" ref="J14:J37" si="0">I14*60/18.8</f>
        <v>4.1489361702127655E-3</v>
      </c>
      <c r="K14">
        <f t="shared" ref="K14:K37" si="1">1/J14</f>
        <v>241.02564102564105</v>
      </c>
      <c r="L14">
        <v>50</v>
      </c>
      <c r="M14">
        <f t="shared" ref="M14:M37" si="2">1/L14</f>
        <v>0.02</v>
      </c>
    </row>
    <row r="15" spans="1:13">
      <c r="A15" t="s">
        <v>8</v>
      </c>
      <c r="B15">
        <v>1.7000000000000001E-2</v>
      </c>
      <c r="C15">
        <v>0.08</v>
      </c>
      <c r="D15">
        <v>0.13300000000000001</v>
      </c>
      <c r="E15">
        <v>0.19400000000000001</v>
      </c>
      <c r="F15">
        <v>0.26</v>
      </c>
      <c r="G15">
        <v>0.32800000000000001</v>
      </c>
      <c r="H15">
        <v>0.39600000000000002</v>
      </c>
      <c r="I15">
        <v>2.0999999999999999E-3</v>
      </c>
      <c r="J15">
        <f t="shared" si="0"/>
        <v>6.7021276595744675E-3</v>
      </c>
      <c r="K15">
        <f t="shared" si="1"/>
        <v>149.20634920634922</v>
      </c>
      <c r="L15">
        <v>125</v>
      </c>
      <c r="M15">
        <f t="shared" si="2"/>
        <v>8.0000000000000002E-3</v>
      </c>
    </row>
    <row r="16" spans="1:13">
      <c r="A16" t="s">
        <v>9</v>
      </c>
      <c r="B16">
        <v>2.5999999999999999E-2</v>
      </c>
      <c r="C16">
        <v>8.5000000000000006E-2</v>
      </c>
      <c r="D16">
        <v>0.158</v>
      </c>
      <c r="E16">
        <v>0.23200000000000001</v>
      </c>
      <c r="F16">
        <v>0.313</v>
      </c>
      <c r="G16">
        <v>0.39500000000000002</v>
      </c>
      <c r="H16">
        <v>0.48099999999999998</v>
      </c>
      <c r="I16">
        <v>2.5000000000000001E-3</v>
      </c>
      <c r="J16">
        <f t="shared" si="0"/>
        <v>7.9787234042553185E-3</v>
      </c>
      <c r="K16">
        <f t="shared" si="1"/>
        <v>125.33333333333334</v>
      </c>
      <c r="L16">
        <v>250</v>
      </c>
      <c r="M16">
        <f t="shared" si="2"/>
        <v>4.0000000000000001E-3</v>
      </c>
    </row>
    <row r="17" spans="1:13">
      <c r="A17" s="5" t="s">
        <v>10</v>
      </c>
      <c r="B17">
        <v>4.1000000000000002E-2</v>
      </c>
      <c r="C17">
        <v>0.107</v>
      </c>
      <c r="D17">
        <v>0.17299999999999999</v>
      </c>
      <c r="E17">
        <v>0.254</v>
      </c>
      <c r="F17">
        <v>0.32900000000000001</v>
      </c>
      <c r="G17">
        <v>0.40100000000000002</v>
      </c>
      <c r="H17">
        <v>0.48899999999999999</v>
      </c>
      <c r="I17">
        <v>2.5000000000000001E-3</v>
      </c>
      <c r="J17">
        <f t="shared" si="0"/>
        <v>7.9787234042553185E-3</v>
      </c>
      <c r="K17">
        <f t="shared" si="1"/>
        <v>125.33333333333334</v>
      </c>
      <c r="L17">
        <v>500</v>
      </c>
      <c r="M17">
        <f t="shared" si="2"/>
        <v>2E-3</v>
      </c>
    </row>
    <row r="18" spans="1:13">
      <c r="A18" s="4" t="s">
        <v>11</v>
      </c>
      <c r="B18" s="2">
        <v>1.7999999999999999E-2</v>
      </c>
      <c r="C18" s="2">
        <v>2.1000000000000001E-2</v>
      </c>
      <c r="D18" s="2">
        <v>2.7E-2</v>
      </c>
      <c r="E18" s="2">
        <v>0.04</v>
      </c>
      <c r="F18" s="2">
        <v>5.1999999999999998E-2</v>
      </c>
      <c r="G18" s="2">
        <v>6.4000000000000001E-2</v>
      </c>
      <c r="H18" s="2">
        <v>7.6999999999999999E-2</v>
      </c>
      <c r="I18">
        <v>2.9999999999999997E-4</v>
      </c>
      <c r="J18">
        <f t="shared" si="0"/>
        <v>9.5744680851063814E-4</v>
      </c>
      <c r="K18">
        <f t="shared" si="1"/>
        <v>1044.4444444444446</v>
      </c>
      <c r="L18">
        <v>25</v>
      </c>
      <c r="M18">
        <f>1/L18</f>
        <v>0.04</v>
      </c>
    </row>
    <row r="19" spans="1:13">
      <c r="A19" s="2" t="s">
        <v>12</v>
      </c>
      <c r="B19" s="2">
        <v>8.9999999999999993E-3</v>
      </c>
      <c r="C19" s="2">
        <v>3.3000000000000002E-2</v>
      </c>
      <c r="D19" s="2">
        <v>6.2E-2</v>
      </c>
      <c r="E19" s="2">
        <v>9.5000000000000001E-2</v>
      </c>
      <c r="F19" s="2">
        <v>0.128</v>
      </c>
      <c r="G19" s="2">
        <v>0.161</v>
      </c>
      <c r="H19" s="2">
        <v>0.19</v>
      </c>
      <c r="I19">
        <v>1E-3</v>
      </c>
      <c r="J19">
        <f>I19*60/18.8</f>
        <v>3.1914893617021275E-3</v>
      </c>
      <c r="K19">
        <f t="shared" si="1"/>
        <v>313.33333333333337</v>
      </c>
      <c r="L19">
        <v>50</v>
      </c>
      <c r="M19">
        <f t="shared" si="2"/>
        <v>0.02</v>
      </c>
    </row>
    <row r="20" spans="1:13">
      <c r="A20" s="2" t="s">
        <v>13</v>
      </c>
      <c r="B20" s="2">
        <v>0.02</v>
      </c>
      <c r="C20" s="2">
        <v>6.6000000000000003E-2</v>
      </c>
      <c r="D20" s="2">
        <v>0.123</v>
      </c>
      <c r="E20" s="2">
        <v>0.16500000000000001</v>
      </c>
      <c r="F20" s="2">
        <v>0.222</v>
      </c>
      <c r="G20" s="2">
        <v>0.27500000000000002</v>
      </c>
      <c r="H20" s="2">
        <v>0.33400000000000002</v>
      </c>
      <c r="I20">
        <v>1.6999999999999999E-3</v>
      </c>
      <c r="J20">
        <f t="shared" si="0"/>
        <v>5.4255319148936165E-3</v>
      </c>
      <c r="K20">
        <f t="shared" si="1"/>
        <v>184.31372549019611</v>
      </c>
      <c r="L20">
        <v>125</v>
      </c>
      <c r="M20">
        <f t="shared" si="2"/>
        <v>8.0000000000000002E-3</v>
      </c>
    </row>
    <row r="21" spans="1:13">
      <c r="A21" s="2" t="s">
        <v>14</v>
      </c>
      <c r="B21" s="2">
        <v>3.7999999999999999E-2</v>
      </c>
      <c r="C21" s="2">
        <v>9.1999999999999998E-2</v>
      </c>
      <c r="D21" s="2">
        <v>0.16500000000000001</v>
      </c>
      <c r="E21" s="2">
        <v>0.24099999999999999</v>
      </c>
      <c r="F21" s="2">
        <v>0.317</v>
      </c>
      <c r="G21" s="2">
        <v>0.4</v>
      </c>
      <c r="H21" s="2">
        <v>0.48499999999999999</v>
      </c>
      <c r="I21">
        <v>2.5000000000000001E-3</v>
      </c>
      <c r="J21">
        <f t="shared" si="0"/>
        <v>7.9787234042553185E-3</v>
      </c>
      <c r="K21">
        <f t="shared" si="1"/>
        <v>125.33333333333334</v>
      </c>
      <c r="L21">
        <v>250</v>
      </c>
      <c r="M21">
        <f t="shared" si="2"/>
        <v>4.0000000000000001E-3</v>
      </c>
    </row>
    <row r="22" spans="1:13">
      <c r="A22" s="6" t="s">
        <v>15</v>
      </c>
      <c r="B22" s="2">
        <v>3.7999999999999999E-2</v>
      </c>
      <c r="C22" s="2">
        <v>0.113</v>
      </c>
      <c r="D22" s="2">
        <v>0.184</v>
      </c>
      <c r="E22" s="2">
        <v>0.26600000000000001</v>
      </c>
      <c r="F22" s="2">
        <v>0.35399999999999998</v>
      </c>
      <c r="G22" s="2">
        <v>0.44700000000000001</v>
      </c>
      <c r="H22" s="2">
        <v>0.54100000000000004</v>
      </c>
      <c r="I22">
        <v>2.8E-3</v>
      </c>
      <c r="J22">
        <f t="shared" si="0"/>
        <v>8.9361702127659579E-3</v>
      </c>
      <c r="K22">
        <f t="shared" si="1"/>
        <v>111.9047619047619</v>
      </c>
      <c r="L22">
        <v>500</v>
      </c>
      <c r="M22">
        <f t="shared" si="2"/>
        <v>2E-3</v>
      </c>
    </row>
    <row r="23" spans="1:13">
      <c r="A23" t="s">
        <v>16</v>
      </c>
      <c r="B23">
        <v>7.0000000000000001E-3</v>
      </c>
      <c r="C23">
        <v>1.6E-2</v>
      </c>
      <c r="D23">
        <v>2.7E-2</v>
      </c>
      <c r="E23">
        <v>0.04</v>
      </c>
      <c r="F23">
        <v>5.0999999999999997E-2</v>
      </c>
      <c r="G23">
        <v>6.2E-2</v>
      </c>
      <c r="H23">
        <v>7.3999999999999996E-2</v>
      </c>
      <c r="I23">
        <v>4.0000000000000002E-4</v>
      </c>
      <c r="J23">
        <f t="shared" si="0"/>
        <v>1.276595744680851E-3</v>
      </c>
      <c r="K23">
        <f t="shared" si="1"/>
        <v>783.33333333333337</v>
      </c>
      <c r="L23">
        <v>25</v>
      </c>
      <c r="M23">
        <f t="shared" si="2"/>
        <v>0.04</v>
      </c>
    </row>
    <row r="24" spans="1:13">
      <c r="A24" t="s">
        <v>17</v>
      </c>
      <c r="B24">
        <v>1.0999999999999999E-2</v>
      </c>
      <c r="C24">
        <v>2.9000000000000001E-2</v>
      </c>
      <c r="D24">
        <v>0.05</v>
      </c>
      <c r="E24">
        <v>6.8000000000000005E-2</v>
      </c>
      <c r="F24">
        <v>9.0999999999999998E-2</v>
      </c>
      <c r="G24">
        <v>0.112</v>
      </c>
      <c r="H24">
        <v>0.13200000000000001</v>
      </c>
      <c r="I24">
        <v>6.9999999999999999E-4</v>
      </c>
      <c r="J24">
        <f t="shared" si="0"/>
        <v>2.2340425531914895E-3</v>
      </c>
      <c r="K24">
        <f t="shared" si="1"/>
        <v>447.61904761904759</v>
      </c>
      <c r="L24">
        <v>50</v>
      </c>
      <c r="M24">
        <f t="shared" si="2"/>
        <v>0.02</v>
      </c>
    </row>
    <row r="25" spans="1:13">
      <c r="A25" t="s">
        <v>18</v>
      </c>
      <c r="B25">
        <v>1.6E-2</v>
      </c>
      <c r="C25">
        <v>4.1000000000000002E-2</v>
      </c>
      <c r="D25">
        <v>7.2999999999999995E-2</v>
      </c>
      <c r="E25">
        <v>0.11</v>
      </c>
      <c r="F25">
        <v>0.14799999999999999</v>
      </c>
      <c r="G25">
        <v>0.186</v>
      </c>
      <c r="H25">
        <v>0.224</v>
      </c>
      <c r="I25">
        <v>1.1999999999999999E-3</v>
      </c>
      <c r="J25">
        <f t="shared" si="0"/>
        <v>3.8297872340425526E-3</v>
      </c>
      <c r="K25">
        <f t="shared" si="1"/>
        <v>261.11111111111114</v>
      </c>
      <c r="L25">
        <v>125</v>
      </c>
      <c r="M25">
        <f t="shared" si="2"/>
        <v>8.0000000000000002E-3</v>
      </c>
    </row>
    <row r="26" spans="1:13">
      <c r="A26" t="s">
        <v>19</v>
      </c>
      <c r="B26">
        <v>2.9000000000000001E-2</v>
      </c>
      <c r="C26">
        <v>8.2000000000000003E-2</v>
      </c>
      <c r="D26">
        <v>0.13300000000000001</v>
      </c>
      <c r="E26">
        <v>0.192</v>
      </c>
      <c r="F26">
        <v>0.253</v>
      </c>
      <c r="G26">
        <v>0.316</v>
      </c>
      <c r="H26">
        <v>0.38</v>
      </c>
      <c r="I26">
        <v>2E-3</v>
      </c>
      <c r="J26">
        <f t="shared" si="0"/>
        <v>6.382978723404255E-3</v>
      </c>
      <c r="K26">
        <f t="shared" si="1"/>
        <v>156.66666666666669</v>
      </c>
      <c r="L26">
        <v>250</v>
      </c>
      <c r="M26">
        <f t="shared" si="2"/>
        <v>4.0000000000000001E-3</v>
      </c>
    </row>
    <row r="27" spans="1:13">
      <c r="A27" t="s">
        <v>20</v>
      </c>
      <c r="B27">
        <v>3.3000000000000002E-2</v>
      </c>
      <c r="C27">
        <v>8.7999999999999995E-2</v>
      </c>
      <c r="D27">
        <v>0.15</v>
      </c>
      <c r="E27">
        <v>0.217</v>
      </c>
      <c r="F27">
        <v>0.28599999999999998</v>
      </c>
      <c r="G27">
        <v>0.36599999999999999</v>
      </c>
      <c r="H27">
        <v>0.45800000000000002</v>
      </c>
      <c r="I27">
        <v>2.3E-3</v>
      </c>
      <c r="J27">
        <f t="shared" si="0"/>
        <v>7.3404255319148943E-3</v>
      </c>
      <c r="K27">
        <f t="shared" si="1"/>
        <v>136.231884057971</v>
      </c>
      <c r="L27">
        <v>500</v>
      </c>
      <c r="M27">
        <f t="shared" si="2"/>
        <v>2E-3</v>
      </c>
    </row>
    <row r="28" spans="1:13">
      <c r="A28" s="2" t="s">
        <v>21</v>
      </c>
      <c r="B28" s="2">
        <v>6.0000000000000001E-3</v>
      </c>
      <c r="C28" s="2">
        <v>1.2999999999999999E-2</v>
      </c>
      <c r="D28" s="2">
        <v>0.02</v>
      </c>
      <c r="E28" s="2">
        <v>2.8000000000000001E-2</v>
      </c>
      <c r="F28" s="2">
        <v>3.5999999999999997E-2</v>
      </c>
      <c r="G28" s="2">
        <v>4.3999999999999997E-2</v>
      </c>
      <c r="H28" s="2">
        <v>5.1999999999999998E-2</v>
      </c>
      <c r="I28">
        <v>2.9999999999999997E-4</v>
      </c>
      <c r="J28">
        <f t="shared" si="0"/>
        <v>9.5744680851063814E-4</v>
      </c>
      <c r="K28">
        <f t="shared" si="1"/>
        <v>1044.4444444444446</v>
      </c>
      <c r="L28">
        <v>25</v>
      </c>
      <c r="M28">
        <f t="shared" si="2"/>
        <v>0.04</v>
      </c>
    </row>
    <row r="29" spans="1:13">
      <c r="A29" s="2" t="s">
        <v>22</v>
      </c>
      <c r="B29" s="2">
        <v>5.0000000000000001E-3</v>
      </c>
      <c r="C29" s="2">
        <v>1.7000000000000001E-2</v>
      </c>
      <c r="D29" s="2">
        <v>3.1E-2</v>
      </c>
      <c r="E29" s="2">
        <v>4.5999999999999999E-2</v>
      </c>
      <c r="F29" s="2">
        <v>6.0999999999999999E-2</v>
      </c>
      <c r="G29" s="2">
        <v>7.5999999999999998E-2</v>
      </c>
      <c r="H29" s="2">
        <v>8.8999999999999996E-2</v>
      </c>
      <c r="I29">
        <v>5.0000000000000001E-4</v>
      </c>
      <c r="J29">
        <f t="shared" si="0"/>
        <v>1.5957446808510637E-3</v>
      </c>
      <c r="K29">
        <f t="shared" si="1"/>
        <v>626.66666666666674</v>
      </c>
      <c r="L29">
        <v>50</v>
      </c>
      <c r="M29">
        <f t="shared" si="2"/>
        <v>0.02</v>
      </c>
    </row>
    <row r="30" spans="1:13">
      <c r="A30" s="2" t="s">
        <v>23</v>
      </c>
      <c r="B30" s="2">
        <v>1.7999999999999999E-2</v>
      </c>
      <c r="C30" s="2">
        <v>0.04</v>
      </c>
      <c r="D30" s="2">
        <v>6.8000000000000005E-2</v>
      </c>
      <c r="E30" s="2">
        <v>9.5000000000000001E-2</v>
      </c>
      <c r="F30" s="2">
        <v>0.126</v>
      </c>
      <c r="G30" s="2">
        <v>0.157</v>
      </c>
      <c r="H30" s="2">
        <v>0.19</v>
      </c>
      <c r="I30">
        <v>1E-3</v>
      </c>
      <c r="J30">
        <f t="shared" si="0"/>
        <v>3.1914893617021275E-3</v>
      </c>
      <c r="K30">
        <f t="shared" si="1"/>
        <v>313.33333333333337</v>
      </c>
      <c r="L30">
        <v>125</v>
      </c>
      <c r="M30">
        <f t="shared" si="2"/>
        <v>8.0000000000000002E-3</v>
      </c>
    </row>
    <row r="31" spans="1:13">
      <c r="A31" s="2" t="s">
        <v>24</v>
      </c>
      <c r="B31" s="2">
        <v>0.02</v>
      </c>
      <c r="C31" s="2">
        <v>0.05</v>
      </c>
      <c r="D31" s="2">
        <v>8.4000000000000005E-2</v>
      </c>
      <c r="E31" s="2">
        <v>0.123</v>
      </c>
      <c r="F31" s="2">
        <v>0.16600000000000001</v>
      </c>
      <c r="G31" s="2">
        <v>0.21</v>
      </c>
      <c r="H31" s="2">
        <v>0.255</v>
      </c>
      <c r="I31">
        <v>1.2999999999999999E-3</v>
      </c>
      <c r="J31">
        <f t="shared" si="0"/>
        <v>4.1489361702127655E-3</v>
      </c>
      <c r="K31">
        <f t="shared" si="1"/>
        <v>241.02564102564105</v>
      </c>
      <c r="L31">
        <v>250</v>
      </c>
      <c r="M31">
        <f t="shared" si="2"/>
        <v>4.0000000000000001E-3</v>
      </c>
    </row>
    <row r="32" spans="1:13">
      <c r="A32" s="2" t="s">
        <v>25</v>
      </c>
      <c r="B32" s="2">
        <v>0.03</v>
      </c>
      <c r="C32" s="2">
        <v>8.4000000000000005E-2</v>
      </c>
      <c r="D32" s="2">
        <v>0.14099999999999999</v>
      </c>
      <c r="E32" s="2">
        <v>0.20399999999999999</v>
      </c>
      <c r="F32" s="2">
        <v>0.27200000000000002</v>
      </c>
      <c r="G32" s="2">
        <v>0.34599999999999997</v>
      </c>
      <c r="H32" s="2">
        <v>0.41599999999999998</v>
      </c>
      <c r="I32">
        <v>2.2000000000000001E-3</v>
      </c>
      <c r="J32">
        <f t="shared" si="0"/>
        <v>7.0212765957446809E-3</v>
      </c>
      <c r="K32">
        <f t="shared" si="1"/>
        <v>142.42424242424244</v>
      </c>
      <c r="L32">
        <v>500</v>
      </c>
      <c r="M32">
        <f t="shared" si="2"/>
        <v>2E-3</v>
      </c>
    </row>
    <row r="33" spans="1:13">
      <c r="A33" s="3" t="s">
        <v>26</v>
      </c>
      <c r="B33">
        <v>0.01</v>
      </c>
      <c r="C33">
        <v>1.4999999999999999E-2</v>
      </c>
      <c r="D33">
        <v>1.7000000000000001E-2</v>
      </c>
      <c r="E33">
        <v>0.02</v>
      </c>
      <c r="F33">
        <v>2.1999999999999999E-2</v>
      </c>
      <c r="G33">
        <v>2.5000000000000001E-2</v>
      </c>
      <c r="H33">
        <v>2.8000000000000001E-2</v>
      </c>
      <c r="I33">
        <v>9.0000000000000006E-5</v>
      </c>
      <c r="J33">
        <f t="shared" si="0"/>
        <v>2.8723404255319147E-4</v>
      </c>
      <c r="K33">
        <f t="shared" si="1"/>
        <v>3481.4814814814818</v>
      </c>
      <c r="L33">
        <v>25</v>
      </c>
      <c r="M33">
        <f t="shared" si="2"/>
        <v>0.04</v>
      </c>
    </row>
    <row r="34" spans="1:13">
      <c r="A34" t="s">
        <v>27</v>
      </c>
      <c r="B34">
        <v>0.01</v>
      </c>
      <c r="C34">
        <v>1.7999999999999999E-2</v>
      </c>
      <c r="D34">
        <v>2.9000000000000001E-2</v>
      </c>
      <c r="E34">
        <v>3.7999999999999999E-2</v>
      </c>
      <c r="F34">
        <v>4.8000000000000001E-2</v>
      </c>
      <c r="G34">
        <v>5.8999999999999997E-2</v>
      </c>
      <c r="H34">
        <v>7.0000000000000007E-2</v>
      </c>
      <c r="I34">
        <v>2.9999999999999997E-4</v>
      </c>
      <c r="J34">
        <f t="shared" si="0"/>
        <v>9.5744680851063814E-4</v>
      </c>
      <c r="K34">
        <f t="shared" si="1"/>
        <v>1044.4444444444446</v>
      </c>
      <c r="L34">
        <v>50</v>
      </c>
      <c r="M34">
        <f t="shared" si="2"/>
        <v>0.02</v>
      </c>
    </row>
    <row r="35" spans="1:13">
      <c r="A35" t="s">
        <v>28</v>
      </c>
      <c r="B35">
        <v>1E-3</v>
      </c>
      <c r="C35">
        <v>1.7000000000000001E-2</v>
      </c>
      <c r="D35">
        <v>2.9000000000000001E-2</v>
      </c>
      <c r="E35">
        <v>5.1999999999999998E-2</v>
      </c>
      <c r="F35">
        <v>7.1999999999999995E-2</v>
      </c>
      <c r="G35">
        <v>9.6000000000000002E-2</v>
      </c>
      <c r="H35">
        <v>0.123</v>
      </c>
      <c r="I35">
        <v>6.9999999999999999E-4</v>
      </c>
      <c r="J35">
        <f t="shared" si="0"/>
        <v>2.2340425531914895E-3</v>
      </c>
      <c r="K35">
        <f t="shared" si="1"/>
        <v>447.61904761904759</v>
      </c>
      <c r="L35">
        <v>125</v>
      </c>
      <c r="M35">
        <f t="shared" si="2"/>
        <v>8.0000000000000002E-3</v>
      </c>
    </row>
    <row r="36" spans="1:13">
      <c r="A36" t="s">
        <v>29</v>
      </c>
      <c r="B36">
        <v>1.7999999999999999E-2</v>
      </c>
      <c r="C36">
        <v>5.7000000000000002E-2</v>
      </c>
      <c r="D36">
        <v>9.4E-2</v>
      </c>
      <c r="E36">
        <v>0.13300000000000001</v>
      </c>
      <c r="F36">
        <v>0.17199999999999999</v>
      </c>
      <c r="G36">
        <v>0.215</v>
      </c>
      <c r="H36">
        <v>0.25700000000000001</v>
      </c>
      <c r="I36">
        <v>1.2999999999999999E-3</v>
      </c>
      <c r="J36">
        <f t="shared" si="0"/>
        <v>4.1489361702127655E-3</v>
      </c>
      <c r="K36">
        <f t="shared" si="1"/>
        <v>241.02564102564105</v>
      </c>
      <c r="L36">
        <v>250</v>
      </c>
      <c r="M36">
        <f t="shared" si="2"/>
        <v>4.0000000000000001E-3</v>
      </c>
    </row>
    <row r="37" spans="1:13">
      <c r="A37" t="s">
        <v>30</v>
      </c>
      <c r="B37">
        <v>1.4999999999999999E-2</v>
      </c>
      <c r="C37">
        <v>5.0999999999999997E-2</v>
      </c>
      <c r="D37">
        <v>9.1999999999999998E-2</v>
      </c>
      <c r="E37">
        <v>0.14099999999999999</v>
      </c>
      <c r="F37">
        <v>0.189</v>
      </c>
      <c r="G37">
        <v>0.23799999999999999</v>
      </c>
      <c r="H37">
        <v>0.28699999999999998</v>
      </c>
      <c r="I37">
        <v>1.5E-3</v>
      </c>
      <c r="J37">
        <f t="shared" si="0"/>
        <v>4.7872340425531915E-3</v>
      </c>
      <c r="K37">
        <f t="shared" si="1"/>
        <v>208.88888888888889</v>
      </c>
      <c r="L37">
        <v>500</v>
      </c>
      <c r="M37">
        <f t="shared" si="2"/>
        <v>2E-3</v>
      </c>
    </row>
    <row r="41" spans="1:13">
      <c r="B41" t="s">
        <v>31</v>
      </c>
      <c r="C41" t="s">
        <v>32</v>
      </c>
      <c r="D41" t="s">
        <v>33</v>
      </c>
      <c r="E41" t="s">
        <v>34</v>
      </c>
      <c r="F41" t="s">
        <v>35</v>
      </c>
    </row>
    <row r="42" spans="1:13">
      <c r="A42" t="s">
        <v>36</v>
      </c>
      <c r="B42">
        <v>0</v>
      </c>
      <c r="C42">
        <v>102.75</v>
      </c>
      <c r="D42">
        <v>6761.7</v>
      </c>
      <c r="E42">
        <f>1/C42</f>
        <v>9.7323600973236012E-3</v>
      </c>
      <c r="F42">
        <f>D42*E42</f>
        <v>65.807299270072988</v>
      </c>
    </row>
    <row r="43" spans="1:13">
      <c r="A43" t="s">
        <v>37</v>
      </c>
      <c r="B43">
        <v>50</v>
      </c>
      <c r="C43">
        <v>86.960999999999999</v>
      </c>
      <c r="D43">
        <v>11384</v>
      </c>
      <c r="E43">
        <f t="shared" ref="E43:E46" si="3">1/C43</f>
        <v>1.1499407780499304E-2</v>
      </c>
      <c r="F43">
        <f t="shared" ref="F43:F46" si="4">D43*E43</f>
        <v>130.90925817320408</v>
      </c>
    </row>
    <row r="44" spans="1:13">
      <c r="A44" t="s">
        <v>38</v>
      </c>
      <c r="B44">
        <v>200</v>
      </c>
      <c r="C44">
        <v>104.69</v>
      </c>
      <c r="D44">
        <v>17047</v>
      </c>
      <c r="E44">
        <f t="shared" si="3"/>
        <v>9.5520106982519819E-3</v>
      </c>
      <c r="F44">
        <f t="shared" si="4"/>
        <v>162.83312637310155</v>
      </c>
    </row>
    <row r="45" spans="1:13">
      <c r="A45" t="s">
        <v>39</v>
      </c>
      <c r="B45">
        <v>500</v>
      </c>
      <c r="C45">
        <v>129</v>
      </c>
      <c r="D45">
        <v>23283</v>
      </c>
      <c r="E45">
        <f t="shared" si="3"/>
        <v>7.7519379844961239E-3</v>
      </c>
      <c r="F45">
        <f t="shared" si="4"/>
        <v>180.48837209302326</v>
      </c>
    </row>
    <row r="46" spans="1:13">
      <c r="A46" t="s">
        <v>40</v>
      </c>
      <c r="B46">
        <v>1000</v>
      </c>
      <c r="C46">
        <v>78.152000000000001</v>
      </c>
      <c r="D46">
        <v>47923</v>
      </c>
      <c r="E46">
        <f t="shared" si="3"/>
        <v>1.2795577848295629E-2</v>
      </c>
      <c r="F46">
        <f t="shared" si="4"/>
        <v>613.20247722387137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施宇柔</dc:creator>
  <cp:keywords/>
  <dc:description/>
  <cp:lastModifiedBy/>
  <cp:revision/>
  <dcterms:created xsi:type="dcterms:W3CDTF">2015-06-05T18:19:34Z</dcterms:created>
  <dcterms:modified xsi:type="dcterms:W3CDTF">2026-05-06T14:48:10Z</dcterms:modified>
  <cp:category/>
  <cp:contentStatus/>
</cp:coreProperties>
</file>