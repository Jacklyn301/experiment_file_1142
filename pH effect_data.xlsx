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sumaggie89/Desktop/"/>
    </mc:Choice>
  </mc:AlternateContent>
  <xr:revisionPtr revIDLastSave="0" documentId="8_{98AFB8E6-83A3-4E3B-B8F7-7A3E2B9913C7}" xr6:coauthVersionLast="47" xr6:coauthVersionMax="47" xr10:uidLastSave="{00000000-0000-0000-0000-000000000000}"/>
  <bookViews>
    <workbookView xWindow="0" yWindow="0" windowWidth="28800" windowHeight="18000" xr2:uid="{4FD7A9B3-4DE5-E049-865A-7C0661E1EE3C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2" i="1"/>
</calcChain>
</file>

<file path=xl/sharedStrings.xml><?xml version="1.0" encoding="utf-8"?>
<sst xmlns="http://schemas.openxmlformats.org/spreadsheetml/2006/main" count="3" uniqueCount="3">
  <si>
    <t>時間 ＰＨ</t>
    <phoneticPr fontId="1" type="noConversion"/>
  </si>
  <si>
    <t>速率斜率</t>
  </si>
  <si>
    <t>速率 (μ mole /min)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</si>
</sst>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PNP </a:t>
            </a:r>
            <a:r>
              <a:rPr lang="ja-JP" altLang="en-US"/>
              <a:t>在不同</a:t>
            </a:r>
            <a:r>
              <a:rPr lang="en-US" altLang="ja-JP"/>
              <a:t>pH </a:t>
            </a:r>
            <a:r>
              <a:rPr lang="ja-JP" altLang="en-US"/>
              <a:t>值下的吸收光度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{"7.5"}</c:f>
              <c:strCache>
                <c:ptCount val="1"/>
                <c:pt idx="0">
                  <c:v>7.5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7388246808132035"/>
                  <c:y val="0.144016662796507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30549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工作表1!B1:L1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xVal>
          <c:yVal>
            <c:numRef>
              <c:f>工作表1!B2:L2</c:f>
              <c:numCache>
                <c:formatCode>General</c:formatCode>
                <c:ptCount val="11"/>
                <c:pt idx="0">
                  <c:v>8.0000000000000002E-3</c:v>
                </c:pt>
                <c:pt idx="1">
                  <c:v>8.9999999999999993E-3</c:v>
                </c:pt>
                <c:pt idx="2">
                  <c:v>8.9999999999999993E-3</c:v>
                </c:pt>
                <c:pt idx="3">
                  <c:v>8.9999999999999993E-3</c:v>
                </c:pt>
                <c:pt idx="4">
                  <c:v>8.9999999999999993E-3</c:v>
                </c:pt>
                <c:pt idx="5">
                  <c:v>8.9999999999999993E-3</c:v>
                </c:pt>
                <c:pt idx="6">
                  <c:v>8.9999999999999993E-3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6B-4098-A375-E4AA466AD12D}"/>
            </c:ext>
          </c:extLst>
        </c:ser>
        <c:ser>
          <c:idx val="1"/>
          <c:order val="1"/>
          <c:tx>
            <c:strRef>
              <c:f>{"8.0"}</c:f>
              <c:strCache>
                <c:ptCount val="1"/>
                <c:pt idx="0">
                  <c:v>8.0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7169037768584011"/>
                  <c:y val="0.101121220437257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ED7D3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工作表1!B1:L1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xVal>
          <c:yVal>
            <c:numRef>
              <c:f>工作表1!B3:L3</c:f>
              <c:numCache>
                <c:formatCode>General</c:formatCode>
                <c:ptCount val="11"/>
                <c:pt idx="0">
                  <c:v>7.0000000000000001E-3</c:v>
                </c:pt>
                <c:pt idx="1">
                  <c:v>8.0000000000000002E-3</c:v>
                </c:pt>
                <c:pt idx="2">
                  <c:v>8.0000000000000002E-3</c:v>
                </c:pt>
                <c:pt idx="3">
                  <c:v>8.0000000000000002E-3</c:v>
                </c:pt>
                <c:pt idx="4">
                  <c:v>8.9999999999999993E-3</c:v>
                </c:pt>
                <c:pt idx="5">
                  <c:v>0.01</c:v>
                </c:pt>
                <c:pt idx="6">
                  <c:v>0.01</c:v>
                </c:pt>
                <c:pt idx="7">
                  <c:v>1.0999999999999999E-2</c:v>
                </c:pt>
                <c:pt idx="8">
                  <c:v>1.0999999999999999E-2</c:v>
                </c:pt>
                <c:pt idx="9">
                  <c:v>1.2E-2</c:v>
                </c:pt>
                <c:pt idx="10">
                  <c:v>1.2999999999999999E-2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B6B-4098-A375-E4AA466AD12D}"/>
            </c:ext>
          </c:extLst>
        </c:ser>
        <c:ser>
          <c:idx val="2"/>
          <c:order val="2"/>
          <c:tx>
            <c:strRef>
              <c:f>{"8.5"}</c:f>
              <c:strCache>
                <c:ptCount val="1"/>
                <c:pt idx="0">
                  <c:v>8.5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7388246808132035"/>
                  <c:y val="4.75019174881960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A5A5A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工作表1!B1:L1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xVal>
          <c:yVal>
            <c:numRef>
              <c:f>工作表1!B4:L4</c:f>
              <c:numCache>
                <c:formatCode>General</c:formatCode>
                <c:ptCount val="11"/>
                <c:pt idx="0">
                  <c:v>0.01</c:v>
                </c:pt>
                <c:pt idx="1">
                  <c:v>1.2E-2</c:v>
                </c:pt>
                <c:pt idx="2">
                  <c:v>1.7000000000000001E-2</c:v>
                </c:pt>
                <c:pt idx="3">
                  <c:v>2.1999999999999999E-2</c:v>
                </c:pt>
                <c:pt idx="4">
                  <c:v>2.8000000000000001E-2</c:v>
                </c:pt>
                <c:pt idx="5">
                  <c:v>3.3000000000000002E-2</c:v>
                </c:pt>
                <c:pt idx="6">
                  <c:v>3.9E-2</c:v>
                </c:pt>
                <c:pt idx="7">
                  <c:v>4.4999999999999998E-2</c:v>
                </c:pt>
                <c:pt idx="8">
                  <c:v>5.0999999999999997E-2</c:v>
                </c:pt>
                <c:pt idx="9">
                  <c:v>5.6000000000000001E-2</c:v>
                </c:pt>
                <c:pt idx="10">
                  <c:v>6.2E-2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6B-4098-A375-E4AA466AD12D}"/>
            </c:ext>
          </c:extLst>
        </c:ser>
        <c:ser>
          <c:idx val="3"/>
          <c:order val="3"/>
          <c:tx>
            <c:strRef>
              <c:f>{"9.0"}</c:f>
              <c:strCache>
                <c:ptCount val="1"/>
                <c:pt idx="0">
                  <c:v>9.0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7388246808132035"/>
                  <c:y val="2.839430593963958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工作表1!B1:L1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xVal>
          <c:yVal>
            <c:numRef>
              <c:f>工作表1!B5:L5</c:f>
              <c:numCache>
                <c:formatCode>General</c:formatCode>
                <c:ptCount val="11"/>
                <c:pt idx="0">
                  <c:v>5.6000000000000001E-2</c:v>
                </c:pt>
                <c:pt idx="1">
                  <c:v>0.10299999999999999</c:v>
                </c:pt>
                <c:pt idx="2">
                  <c:v>0.15</c:v>
                </c:pt>
                <c:pt idx="3">
                  <c:v>0.19700000000000001</c:v>
                </c:pt>
                <c:pt idx="4">
                  <c:v>0.24299999999999999</c:v>
                </c:pt>
                <c:pt idx="5">
                  <c:v>0.28999999999999998</c:v>
                </c:pt>
                <c:pt idx="6">
                  <c:v>0.33600000000000002</c:v>
                </c:pt>
                <c:pt idx="7">
                  <c:v>0.38400000000000001</c:v>
                </c:pt>
                <c:pt idx="8">
                  <c:v>0.43</c:v>
                </c:pt>
                <c:pt idx="9">
                  <c:v>0.47699999999999998</c:v>
                </c:pt>
                <c:pt idx="10">
                  <c:v>0.52400000000000002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B6B-4098-A375-E4AA466AD12D}"/>
            </c:ext>
          </c:extLst>
        </c:ser>
        <c:ser>
          <c:idx val="4"/>
          <c:order val="4"/>
          <c:tx>
            <c:strRef>
              <c:f>{"9.4"}</c:f>
              <c:strCache>
                <c:ptCount val="1"/>
                <c:pt idx="0">
                  <c:v>9.4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6676382401352374"/>
                  <c:y val="2.95882853785367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5B9BD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工作表1!B1:L1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xVal>
          <c:yVal>
            <c:numRef>
              <c:f>工作表1!B6:L6</c:f>
              <c:numCache>
                <c:formatCode>General</c:formatCode>
                <c:ptCount val="11"/>
                <c:pt idx="0">
                  <c:v>0.125</c:v>
                </c:pt>
                <c:pt idx="1">
                  <c:v>0.20300000000000001</c:v>
                </c:pt>
                <c:pt idx="2">
                  <c:v>0.28599999999999998</c:v>
                </c:pt>
                <c:pt idx="3">
                  <c:v>0.37</c:v>
                </c:pt>
                <c:pt idx="4">
                  <c:v>0.45900000000000002</c:v>
                </c:pt>
                <c:pt idx="5">
                  <c:v>0.54900000000000004</c:v>
                </c:pt>
                <c:pt idx="6">
                  <c:v>0.63800000000000001</c:v>
                </c:pt>
                <c:pt idx="7">
                  <c:v>0.72799999999999998</c:v>
                </c:pt>
                <c:pt idx="8">
                  <c:v>0.81699999999999995</c:v>
                </c:pt>
                <c:pt idx="9">
                  <c:v>0.90700000000000003</c:v>
                </c:pt>
                <c:pt idx="10">
                  <c:v>0.99199999999999999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B6B-4098-A375-E4AA466AD12D}"/>
            </c:ext>
          </c:extLst>
        </c:ser>
        <c:ser>
          <c:idx val="5"/>
          <c:order val="5"/>
          <c:tx>
            <c:strRef>
              <c:f>{"9.8"}</c:f>
              <c:strCache>
                <c:ptCount val="1"/>
                <c:pt idx="0">
                  <c:v>9.8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7388246808132035"/>
                  <c:y val="-4.92940125111707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70AD47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工作表1!B1:L1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xVal>
          <c:yVal>
            <c:numRef>
              <c:f>工作表1!B7:L7</c:f>
              <c:numCache>
                <c:formatCode>General</c:formatCode>
                <c:ptCount val="11"/>
                <c:pt idx="0">
                  <c:v>0.13100000000000001</c:v>
                </c:pt>
                <c:pt idx="1">
                  <c:v>0.23200000000000001</c:v>
                </c:pt>
                <c:pt idx="2">
                  <c:v>0.33800000000000002</c:v>
                </c:pt>
                <c:pt idx="3">
                  <c:v>0.442</c:v>
                </c:pt>
                <c:pt idx="4">
                  <c:v>0.54400000000000004</c:v>
                </c:pt>
                <c:pt idx="5">
                  <c:v>0.64300000000000002</c:v>
                </c:pt>
                <c:pt idx="6">
                  <c:v>0.74</c:v>
                </c:pt>
                <c:pt idx="7">
                  <c:v>0.83399999999999996</c:v>
                </c:pt>
                <c:pt idx="8">
                  <c:v>0.92</c:v>
                </c:pt>
                <c:pt idx="9">
                  <c:v>1.0089999999999999</c:v>
                </c:pt>
                <c:pt idx="10">
                  <c:v>1.0900000000000001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B6B-4098-A375-E4AA466AD12D}"/>
            </c:ext>
          </c:extLst>
        </c:ser>
        <c:ser>
          <c:idx val="6"/>
          <c:order val="6"/>
          <c:tx>
            <c:strRef>
              <c:f>{"10.2"}</c:f>
              <c:strCache>
                <c:ptCount val="1"/>
                <c:pt idx="0">
                  <c:v>10.2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7388246808132035"/>
                  <c:y val="-4.677629773490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工作表1!B1:L1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xVal>
          <c:yVal>
            <c:numRef>
              <c:f>工作表1!B8:L8</c:f>
              <c:numCache>
                <c:formatCode>General</c:formatCode>
                <c:ptCount val="11"/>
                <c:pt idx="0">
                  <c:v>9.9000000000000005E-2</c:v>
                </c:pt>
                <c:pt idx="1">
                  <c:v>0.159</c:v>
                </c:pt>
                <c:pt idx="2">
                  <c:v>0.221</c:v>
                </c:pt>
                <c:pt idx="3">
                  <c:v>0.28100000000000003</c:v>
                </c:pt>
                <c:pt idx="4">
                  <c:v>0.33900000000000002</c:v>
                </c:pt>
                <c:pt idx="5">
                  <c:v>0.39400000000000002</c:v>
                </c:pt>
                <c:pt idx="6">
                  <c:v>0.44900000000000001</c:v>
                </c:pt>
                <c:pt idx="7">
                  <c:v>0.501</c:v>
                </c:pt>
                <c:pt idx="8">
                  <c:v>0.55100000000000005</c:v>
                </c:pt>
                <c:pt idx="9">
                  <c:v>0.6</c:v>
                </c:pt>
                <c:pt idx="10">
                  <c:v>0.64700000000000002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B6B-4098-A375-E4AA466AD12D}"/>
            </c:ext>
          </c:extLst>
        </c:ser>
        <c:ser>
          <c:idx val="7"/>
          <c:order val="7"/>
          <c:tx>
            <c:strRef>
              <c:f>{"10.6"}</c:f>
              <c:strCache>
                <c:ptCount val="1"/>
                <c:pt idx="0">
                  <c:v>10.6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6676382401352374"/>
                  <c:y val="4.46256148276371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833C0C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工作表1!B1:L1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xVal>
          <c:yVal>
            <c:numRef>
              <c:f>工作表1!B9:L9</c:f>
              <c:numCache>
                <c:formatCode>General</c:formatCode>
                <c:ptCount val="11"/>
                <c:pt idx="0">
                  <c:v>5.8999999999999997E-2</c:v>
                </c:pt>
                <c:pt idx="1">
                  <c:v>9.7000000000000003E-2</c:v>
                </c:pt>
                <c:pt idx="2">
                  <c:v>0.13400000000000001</c:v>
                </c:pt>
                <c:pt idx="3">
                  <c:v>0.16900000000000001</c:v>
                </c:pt>
                <c:pt idx="4">
                  <c:v>0.20399999999999999</c:v>
                </c:pt>
                <c:pt idx="5">
                  <c:v>0.23699999999999999</c:v>
                </c:pt>
                <c:pt idx="6">
                  <c:v>0.27</c:v>
                </c:pt>
                <c:pt idx="7">
                  <c:v>0.30299999999999999</c:v>
                </c:pt>
                <c:pt idx="8">
                  <c:v>0.33600000000000002</c:v>
                </c:pt>
                <c:pt idx="9">
                  <c:v>0.36699999999999999</c:v>
                </c:pt>
                <c:pt idx="10">
                  <c:v>0.39900000000000002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B6B-4098-A375-E4AA466AD12D}"/>
            </c:ext>
          </c:extLst>
        </c:ser>
        <c:ser>
          <c:idx val="8"/>
          <c:order val="8"/>
          <c:tx>
            <c:strRef>
              <c:f>{"11.0"}</c:f>
              <c:strCache>
                <c:ptCount val="1"/>
                <c:pt idx="0">
                  <c:v>11.0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6902371101917346"/>
                  <c:y val="2.98427307846572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3A3838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工作表1!B1:L1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xVal>
          <c:yVal>
            <c:numRef>
              <c:f>工作表1!B10:L10</c:f>
              <c:numCache>
                <c:formatCode>General</c:formatCode>
                <c:ptCount val="11"/>
                <c:pt idx="0">
                  <c:v>4.8000000000000001E-2</c:v>
                </c:pt>
                <c:pt idx="1">
                  <c:v>0.11</c:v>
                </c:pt>
                <c:pt idx="2">
                  <c:v>0.16900000000000001</c:v>
                </c:pt>
                <c:pt idx="3">
                  <c:v>0.23400000000000001</c:v>
                </c:pt>
                <c:pt idx="4">
                  <c:v>0.29299999999999998</c:v>
                </c:pt>
                <c:pt idx="5">
                  <c:v>0.35499999999999998</c:v>
                </c:pt>
                <c:pt idx="6">
                  <c:v>0.41499999999999998</c:v>
                </c:pt>
                <c:pt idx="7">
                  <c:v>0.47699999999999998</c:v>
                </c:pt>
                <c:pt idx="8">
                  <c:v>0.53700000000000003</c:v>
                </c:pt>
                <c:pt idx="9">
                  <c:v>0.59299999999999997</c:v>
                </c:pt>
                <c:pt idx="10">
                  <c:v>0.64700000000000002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B6B-4098-A375-E4AA466AD12D}"/>
            </c:ext>
          </c:extLst>
        </c:ser>
        <c:ser>
          <c:idx val="9"/>
          <c:order val="9"/>
          <c:tx>
            <c:strRef>
              <c:f>{"11.4"}</c:f>
              <c:strCache>
                <c:ptCount val="1"/>
                <c:pt idx="0">
                  <c:v>11.4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7388246808132035"/>
                  <c:y val="-2.013214836081146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806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工作表1!B1:L1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xVal>
          <c:yVal>
            <c:numRef>
              <c:f>工作表1!B11:L11</c:f>
              <c:numCache>
                <c:formatCode>General</c:formatCode>
                <c:ptCount val="11"/>
                <c:pt idx="0">
                  <c:v>7.0999999999999994E-2</c:v>
                </c:pt>
                <c:pt idx="1">
                  <c:v>0.127</c:v>
                </c:pt>
                <c:pt idx="2">
                  <c:v>0.183</c:v>
                </c:pt>
                <c:pt idx="3">
                  <c:v>0.23799999999999999</c:v>
                </c:pt>
                <c:pt idx="4">
                  <c:v>0.29499999999999998</c:v>
                </c:pt>
                <c:pt idx="5">
                  <c:v>0.35</c:v>
                </c:pt>
                <c:pt idx="6">
                  <c:v>0.41099999999999998</c:v>
                </c:pt>
                <c:pt idx="7">
                  <c:v>0.46899999999999997</c:v>
                </c:pt>
                <c:pt idx="8">
                  <c:v>0.52900000000000003</c:v>
                </c:pt>
                <c:pt idx="9">
                  <c:v>0.59</c:v>
                </c:pt>
                <c:pt idx="10">
                  <c:v>0.64700000000000002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B6B-4098-A375-E4AA466AD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33256"/>
        <c:axId val="162951688"/>
      </c:scatterChart>
      <c:valAx>
        <c:axId val="162933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秒數 </a:t>
                </a:r>
                <a:r>
                  <a:rPr lang="en-US" altLang="ja-JP"/>
                  <a:t>(second)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51688"/>
        <c:crosses val="autoZero"/>
        <c:crossBetween val="midCat"/>
      </c:valAx>
      <c:valAx>
        <c:axId val="162951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吸光值 </a:t>
                </a:r>
                <a:r>
                  <a:rPr lang="en-US" altLang="ja-JP"/>
                  <a:t>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3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ALK </a:t>
            </a:r>
            <a:r>
              <a:rPr lang="ja-JP" altLang="en-US"/>
              <a:t>在不同</a:t>
            </a:r>
            <a:r>
              <a:rPr lang="en-US" altLang="ja-JP"/>
              <a:t>pH </a:t>
            </a:r>
            <a:r>
              <a:rPr lang="ja-JP" altLang="en-US"/>
              <a:t>值下的反應速率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kinetic assay</c:v>
          </c:tx>
          <c:spPr>
            <a:ln w="19050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FFFF"/>
              </a:solidFill>
              <a:ln w="9525">
                <a:solidFill>
                  <a:srgbClr val="7030A0"/>
                </a:solidFill>
                <a:prstDash val="solid"/>
              </a:ln>
              <a:effectLst/>
            </c:spPr>
          </c:marker>
          <c:xVal>
            <c:numRef>
              <c:f>工作表1!A2:A11</c:f>
              <c:numCache>
                <c:formatCode>General</c:formatCode>
                <c:ptCount val="10"/>
                <c:pt idx="0">
                  <c:v>7.5</c:v>
                </c:pt>
                <c:pt idx="1">
                  <c:v>8</c:v>
                </c:pt>
                <c:pt idx="2">
                  <c:v>8.5</c:v>
                </c:pt>
                <c:pt idx="3">
                  <c:v>9</c:v>
                </c:pt>
                <c:pt idx="4">
                  <c:v>9.4</c:v>
                </c:pt>
                <c:pt idx="5">
                  <c:v>9.8000000000000007</c:v>
                </c:pt>
                <c:pt idx="6">
                  <c:v>10.199999999999999</c:v>
                </c:pt>
                <c:pt idx="7">
                  <c:v>10.6</c:v>
                </c:pt>
                <c:pt idx="8">
                  <c:v>11</c:v>
                </c:pt>
                <c:pt idx="9">
                  <c:v>11.4</c:v>
                </c:pt>
              </c:numCache>
            </c:numRef>
          </c:xVal>
          <c:yVal>
            <c:numRef>
              <c:f>工作表1!N2:N11</c:f>
              <c:numCache>
                <c:formatCode>General</c:formatCode>
                <c:ptCount val="10"/>
                <c:pt idx="0">
                  <c:v>1.9148936170212766E-5</c:v>
                </c:pt>
                <c:pt idx="1">
                  <c:v>6.3829787234042563E-5</c:v>
                </c:pt>
                <c:pt idx="2">
                  <c:v>6.382978723404255E-4</c:v>
                </c:pt>
                <c:pt idx="3">
                  <c:v>5.106382978723404E-3</c:v>
                </c:pt>
                <c:pt idx="4">
                  <c:v>9.2553191489361687E-3</c:v>
                </c:pt>
                <c:pt idx="5">
                  <c:v>1.0212765957446808E-2</c:v>
                </c:pt>
                <c:pt idx="6">
                  <c:v>5.7446808510638299E-3</c:v>
                </c:pt>
                <c:pt idx="7">
                  <c:v>3.5106382978723405E-3</c:v>
                </c:pt>
                <c:pt idx="8">
                  <c:v>6.382978723404255E-3</c:v>
                </c:pt>
                <c:pt idx="9">
                  <c:v>6.0638297872340425E-3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57-4629-9AB1-2DEB5C23E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2097159"/>
        <c:axId val="2122099719"/>
      </c:scatterChart>
      <c:valAx>
        <c:axId val="2122097159"/>
        <c:scaling>
          <c:orientation val="minMax"/>
          <c:min val="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pH</a:t>
                </a:r>
                <a:r>
                  <a:rPr lang="ja-JP" altLang="en-US"/>
                  <a:t>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099719"/>
        <c:crosses val="autoZero"/>
        <c:crossBetween val="midCat"/>
      </c:valAx>
      <c:valAx>
        <c:axId val="2122099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Velocity (</a:t>
                </a:r>
                <a:r>
                  <a:rPr lang="el-GR" altLang="ja-JP"/>
                  <a:t>μ </a:t>
                </a:r>
                <a:r>
                  <a:rPr lang="en-US" altLang="ja-JP"/>
                  <a:t>mole /min)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097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</xdr:colOff>
      <xdr:row>0</xdr:row>
      <xdr:rowOff>0</xdr:rowOff>
    </xdr:from>
    <xdr:to>
      <xdr:col>21</xdr:col>
      <xdr:colOff>361950</xdr:colOff>
      <xdr:row>19</xdr:row>
      <xdr:rowOff>171450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66B7DBA-D62E-DFEC-1E04-DA0CE1308E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361950</xdr:colOff>
      <xdr:row>0</xdr:row>
      <xdr:rowOff>0</xdr:rowOff>
    </xdr:from>
    <xdr:to>
      <xdr:col>28</xdr:col>
      <xdr:colOff>76200</xdr:colOff>
      <xdr:row>19</xdr:row>
      <xdr:rowOff>171450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FADD128-BC79-24F6-854F-3ECB7776A644}"/>
            </a:ext>
            <a:ext uri="{147F2762-F138-4A5C-976F-8EAC2B608ADB}">
              <a16:predDERef xmlns:a16="http://schemas.microsoft.com/office/drawing/2014/main" pred="{566B7DBA-D62E-DFEC-1E04-DA0CE1308E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B3C8-6FBC-134E-AA3B-155448A86066}">
  <dimension ref="A1:N14"/>
  <sheetViews>
    <sheetView tabSelected="1" zoomScale="150" zoomScaleNormal="150" workbookViewId="0">
      <selection activeCell="AD13" sqref="AD13"/>
    </sheetView>
  </sheetViews>
  <sheetFormatPr defaultColWidth="10.875" defaultRowHeight="15"/>
  <cols>
    <col min="14" max="14" width="16.375" bestFit="1" customWidth="1"/>
  </cols>
  <sheetData>
    <row r="1" spans="1:14">
      <c r="A1" t="s">
        <v>0</v>
      </c>
      <c r="B1">
        <v>0</v>
      </c>
      <c r="C1">
        <v>30</v>
      </c>
      <c r="D1">
        <v>60</v>
      </c>
      <c r="E1">
        <v>90</v>
      </c>
      <c r="F1">
        <v>120</v>
      </c>
      <c r="G1">
        <v>150</v>
      </c>
      <c r="H1">
        <v>180</v>
      </c>
      <c r="I1">
        <v>210</v>
      </c>
      <c r="J1">
        <v>240</v>
      </c>
      <c r="K1">
        <v>270</v>
      </c>
      <c r="L1">
        <v>300</v>
      </c>
      <c r="M1" t="s">
        <v>1</v>
      </c>
      <c r="N1" t="s">
        <v>2</v>
      </c>
    </row>
    <row r="2" spans="1:14">
      <c r="A2">
        <v>7.5</v>
      </c>
      <c r="B2">
        <v>8.0000000000000002E-3</v>
      </c>
      <c r="C2">
        <v>8.9999999999999993E-3</v>
      </c>
      <c r="D2">
        <v>8.9999999999999993E-3</v>
      </c>
      <c r="E2">
        <v>8.9999999999999993E-3</v>
      </c>
      <c r="F2">
        <v>8.9999999999999993E-3</v>
      </c>
      <c r="G2">
        <v>8.9999999999999993E-3</v>
      </c>
      <c r="H2">
        <v>8.9999999999999993E-3</v>
      </c>
      <c r="I2">
        <v>0.01</v>
      </c>
      <c r="J2">
        <v>0.01</v>
      </c>
      <c r="K2">
        <v>0.01</v>
      </c>
      <c r="L2">
        <v>0.01</v>
      </c>
      <c r="M2">
        <v>6.0000000000000002E-6</v>
      </c>
      <c r="N2">
        <f>M2*60/18.8</f>
        <v>1.9148936170212766E-5</v>
      </c>
    </row>
    <row r="3" spans="1:14">
      <c r="A3">
        <v>8</v>
      </c>
      <c r="B3">
        <v>7.0000000000000001E-3</v>
      </c>
      <c r="C3">
        <v>8.0000000000000002E-3</v>
      </c>
      <c r="D3">
        <v>8.0000000000000002E-3</v>
      </c>
      <c r="E3">
        <v>8.0000000000000002E-3</v>
      </c>
      <c r="F3">
        <v>8.9999999999999993E-3</v>
      </c>
      <c r="G3">
        <v>0.01</v>
      </c>
      <c r="H3">
        <v>0.01</v>
      </c>
      <c r="I3">
        <v>1.0999999999999999E-2</v>
      </c>
      <c r="J3">
        <v>1.0999999999999999E-2</v>
      </c>
      <c r="K3">
        <v>1.2E-2</v>
      </c>
      <c r="L3">
        <v>1.2999999999999999E-2</v>
      </c>
      <c r="M3">
        <v>2.0000000000000002E-5</v>
      </c>
      <c r="N3">
        <f t="shared" ref="N3:N11" si="0">M3*60/18.8</f>
        <v>6.3829787234042563E-5</v>
      </c>
    </row>
    <row r="4" spans="1:14">
      <c r="A4">
        <v>8.5</v>
      </c>
      <c r="B4">
        <v>0.01</v>
      </c>
      <c r="C4">
        <v>1.2E-2</v>
      </c>
      <c r="D4">
        <v>1.7000000000000001E-2</v>
      </c>
      <c r="E4">
        <v>2.1999999999999999E-2</v>
      </c>
      <c r="F4">
        <v>2.8000000000000001E-2</v>
      </c>
      <c r="G4">
        <v>3.3000000000000002E-2</v>
      </c>
      <c r="H4">
        <v>3.9E-2</v>
      </c>
      <c r="I4">
        <v>4.4999999999999998E-2</v>
      </c>
      <c r="J4">
        <v>5.0999999999999997E-2</v>
      </c>
      <c r="K4">
        <v>5.6000000000000001E-2</v>
      </c>
      <c r="L4">
        <v>6.2E-2</v>
      </c>
      <c r="M4">
        <v>2.0000000000000001E-4</v>
      </c>
      <c r="N4">
        <f t="shared" si="0"/>
        <v>6.382978723404255E-4</v>
      </c>
    </row>
    <row r="5" spans="1:14">
      <c r="A5">
        <v>9</v>
      </c>
      <c r="B5">
        <v>5.6000000000000001E-2</v>
      </c>
      <c r="C5">
        <v>0.10299999999999999</v>
      </c>
      <c r="D5">
        <v>0.15</v>
      </c>
      <c r="E5">
        <v>0.19700000000000001</v>
      </c>
      <c r="F5">
        <v>0.24299999999999999</v>
      </c>
      <c r="G5">
        <v>0.28999999999999998</v>
      </c>
      <c r="H5">
        <v>0.33600000000000002</v>
      </c>
      <c r="I5">
        <v>0.38400000000000001</v>
      </c>
      <c r="J5">
        <v>0.43</v>
      </c>
      <c r="K5">
        <v>0.47699999999999998</v>
      </c>
      <c r="L5">
        <v>0.52400000000000002</v>
      </c>
      <c r="M5">
        <v>1.6000000000000001E-3</v>
      </c>
      <c r="N5">
        <f t="shared" si="0"/>
        <v>5.106382978723404E-3</v>
      </c>
    </row>
    <row r="6" spans="1:14">
      <c r="A6">
        <v>9.4</v>
      </c>
      <c r="B6">
        <v>0.125</v>
      </c>
      <c r="C6">
        <v>0.20300000000000001</v>
      </c>
      <c r="D6">
        <v>0.28599999999999998</v>
      </c>
      <c r="E6">
        <v>0.37</v>
      </c>
      <c r="F6">
        <v>0.45900000000000002</v>
      </c>
      <c r="G6">
        <v>0.54900000000000004</v>
      </c>
      <c r="H6">
        <v>0.63800000000000001</v>
      </c>
      <c r="I6">
        <v>0.72799999999999998</v>
      </c>
      <c r="J6">
        <v>0.81699999999999995</v>
      </c>
      <c r="K6">
        <v>0.90700000000000003</v>
      </c>
      <c r="L6">
        <v>0.99199999999999999</v>
      </c>
      <c r="M6">
        <v>2.8999999999999998E-3</v>
      </c>
      <c r="N6">
        <f t="shared" si="0"/>
        <v>9.2553191489361687E-3</v>
      </c>
    </row>
    <row r="7" spans="1:14">
      <c r="A7">
        <v>9.8000000000000007</v>
      </c>
      <c r="B7">
        <v>0.13100000000000001</v>
      </c>
      <c r="C7">
        <v>0.23200000000000001</v>
      </c>
      <c r="D7">
        <v>0.33800000000000002</v>
      </c>
      <c r="E7">
        <v>0.442</v>
      </c>
      <c r="F7">
        <v>0.54400000000000004</v>
      </c>
      <c r="G7">
        <v>0.64300000000000002</v>
      </c>
      <c r="H7">
        <v>0.74</v>
      </c>
      <c r="I7">
        <v>0.83399999999999996</v>
      </c>
      <c r="J7">
        <v>0.92</v>
      </c>
      <c r="K7">
        <v>1.0089999999999999</v>
      </c>
      <c r="L7">
        <v>1.0900000000000001</v>
      </c>
      <c r="M7">
        <v>3.2000000000000002E-3</v>
      </c>
      <c r="N7">
        <f t="shared" si="0"/>
        <v>1.0212765957446808E-2</v>
      </c>
    </row>
    <row r="8" spans="1:14">
      <c r="A8">
        <v>10.199999999999999</v>
      </c>
      <c r="B8">
        <v>9.9000000000000005E-2</v>
      </c>
      <c r="C8">
        <v>0.159</v>
      </c>
      <c r="D8">
        <v>0.221</v>
      </c>
      <c r="E8">
        <v>0.28100000000000003</v>
      </c>
      <c r="F8">
        <v>0.33900000000000002</v>
      </c>
      <c r="G8">
        <v>0.39400000000000002</v>
      </c>
      <c r="H8">
        <v>0.44900000000000001</v>
      </c>
      <c r="I8">
        <v>0.501</v>
      </c>
      <c r="J8">
        <v>0.55100000000000005</v>
      </c>
      <c r="K8">
        <v>0.6</v>
      </c>
      <c r="L8">
        <v>0.64700000000000002</v>
      </c>
      <c r="M8">
        <v>1.8E-3</v>
      </c>
      <c r="N8">
        <f t="shared" si="0"/>
        <v>5.7446808510638299E-3</v>
      </c>
    </row>
    <row r="9" spans="1:14">
      <c r="A9">
        <v>10.6</v>
      </c>
      <c r="B9">
        <v>5.8999999999999997E-2</v>
      </c>
      <c r="C9">
        <v>9.7000000000000003E-2</v>
      </c>
      <c r="D9">
        <v>0.13400000000000001</v>
      </c>
      <c r="E9">
        <v>0.16900000000000001</v>
      </c>
      <c r="F9">
        <v>0.20399999999999999</v>
      </c>
      <c r="G9">
        <v>0.23699999999999999</v>
      </c>
      <c r="H9">
        <v>0.27</v>
      </c>
      <c r="I9">
        <v>0.30299999999999999</v>
      </c>
      <c r="J9">
        <v>0.33600000000000002</v>
      </c>
      <c r="K9">
        <v>0.36699999999999999</v>
      </c>
      <c r="L9">
        <v>0.39900000000000002</v>
      </c>
      <c r="M9">
        <v>1.1000000000000001E-3</v>
      </c>
      <c r="N9">
        <f t="shared" si="0"/>
        <v>3.5106382978723405E-3</v>
      </c>
    </row>
    <row r="10" spans="1:14">
      <c r="A10">
        <v>11</v>
      </c>
      <c r="B10">
        <v>4.8000000000000001E-2</v>
      </c>
      <c r="C10">
        <v>0.11</v>
      </c>
      <c r="D10">
        <v>0.16900000000000001</v>
      </c>
      <c r="E10">
        <v>0.23400000000000001</v>
      </c>
      <c r="F10">
        <v>0.29299999999999998</v>
      </c>
      <c r="G10">
        <v>0.35499999999999998</v>
      </c>
      <c r="H10">
        <v>0.41499999999999998</v>
      </c>
      <c r="I10">
        <v>0.47699999999999998</v>
      </c>
      <c r="J10">
        <v>0.53700000000000003</v>
      </c>
      <c r="K10">
        <v>0.59299999999999997</v>
      </c>
      <c r="L10">
        <v>0.64700000000000002</v>
      </c>
      <c r="M10">
        <v>2E-3</v>
      </c>
      <c r="N10">
        <f t="shared" si="0"/>
        <v>6.382978723404255E-3</v>
      </c>
    </row>
    <row r="11" spans="1:14">
      <c r="A11">
        <v>11.4</v>
      </c>
      <c r="B11">
        <v>7.0999999999999994E-2</v>
      </c>
      <c r="C11">
        <v>0.127</v>
      </c>
      <c r="D11">
        <v>0.183</v>
      </c>
      <c r="E11">
        <v>0.23799999999999999</v>
      </c>
      <c r="F11">
        <v>0.29499999999999998</v>
      </c>
      <c r="G11">
        <v>0.35</v>
      </c>
      <c r="H11">
        <v>0.41099999999999998</v>
      </c>
      <c r="I11">
        <v>0.46899999999999997</v>
      </c>
      <c r="J11">
        <v>0.52900000000000003</v>
      </c>
      <c r="K11">
        <v>0.59</v>
      </c>
      <c r="L11">
        <v>0.64700000000000002</v>
      </c>
      <c r="M11">
        <v>1.9E-3</v>
      </c>
      <c r="N11">
        <f t="shared" si="0"/>
        <v>6.0638297872340425E-3</v>
      </c>
    </row>
    <row r="14" spans="1:14">
      <c r="B14">
        <v>2.5000000000000001E-2</v>
      </c>
      <c r="C14">
        <v>5.1999999999999998E-2</v>
      </c>
      <c r="D14">
        <v>7.4999999999999997E-2</v>
      </c>
      <c r="E14">
        <v>9.8000000000000004E-2</v>
      </c>
      <c r="F14">
        <v>0.122</v>
      </c>
      <c r="G14">
        <v>0.14599999999999999</v>
      </c>
      <c r="H14">
        <v>0.17</v>
      </c>
      <c r="I14">
        <v>0.19500000000000001</v>
      </c>
      <c r="J14">
        <v>0.22</v>
      </c>
      <c r="K14">
        <v>0.245</v>
      </c>
      <c r="L14">
        <v>0.26900000000000002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旻鈺 徐</dc:creator>
  <cp:keywords/>
  <dc:description/>
  <cp:lastModifiedBy/>
  <cp:revision/>
  <dcterms:created xsi:type="dcterms:W3CDTF">2026-04-01T06:39:36Z</dcterms:created>
  <dcterms:modified xsi:type="dcterms:W3CDTF">2026-05-05T17:13:36Z</dcterms:modified>
  <cp:category/>
  <cp:contentStatus/>
</cp:coreProperties>
</file>