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3"/>
  <workbookPr/>
  <mc:AlternateContent xmlns:mc="http://schemas.openxmlformats.org/markup-compatibility/2006">
    <mc:Choice Requires="x15">
      <x15ac:absPath xmlns:x15ac="http://schemas.microsoft.com/office/spreadsheetml/2010/11/ac" url="C:\Users\shihy\Desktop\"/>
    </mc:Choice>
  </mc:AlternateContent>
  <xr:revisionPtr revIDLastSave="0" documentId="8_{E3919D22-7C95-453B-B10A-99606F7326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" i="1" l="1"/>
  <c r="O15" i="1"/>
  <c r="O16" i="1"/>
  <c r="O17" i="1"/>
  <c r="O18" i="1"/>
  <c r="O19" i="1"/>
  <c r="O13" i="1"/>
  <c r="O3" i="1"/>
  <c r="O4" i="1"/>
  <c r="O5" i="1"/>
  <c r="O6" i="1"/>
  <c r="O7" i="1"/>
  <c r="O8" i="1"/>
  <c r="O2" i="1"/>
</calcChain>
</file>

<file path=xl/sharedStrings.xml><?xml version="1.0" encoding="utf-8"?>
<sst xmlns="http://schemas.openxmlformats.org/spreadsheetml/2006/main" count="4" uniqueCount="4">
  <si>
    <t>溫度</t>
    <phoneticPr fontId="1" type="noConversion"/>
  </si>
  <si>
    <t>速率斜率</t>
  </si>
  <si>
    <t>速率 (μ mole/minute)</t>
  </si>
  <si>
    <t>未控溫版本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</si>
</sst>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Border="1" applyAlignment="1">
      <alignment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PNP </a:t>
            </a:r>
            <a:r>
              <a:rPr lang="ja-JP" altLang="en-US"/>
              <a:t>在不同溫度下的吸收光度 </a:t>
            </a:r>
            <a:r>
              <a:rPr lang="en-US" altLang="ja-JP"/>
              <a:t>-- </a:t>
            </a:r>
            <a:r>
              <a:rPr lang="ja-JP" altLang="en-US"/>
              <a:t>控溫版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{"15度"}</c:f>
              <c:strCache>
                <c:ptCount val="1"/>
                <c:pt idx="0">
                  <c:v>15度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333077634636646"/>
                  <c:y val="1.9078044838667242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2F75B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工作表1!B1:L1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工作表1!B2:L2</c:f>
              <c:numCache>
                <c:formatCode>General</c:formatCode>
                <c:ptCount val="11"/>
                <c:pt idx="0">
                  <c:v>3.5999999999999997E-2</c:v>
                </c:pt>
                <c:pt idx="1">
                  <c:v>0.10199999999999999</c:v>
                </c:pt>
                <c:pt idx="2">
                  <c:v>0.16900000000000001</c:v>
                </c:pt>
                <c:pt idx="3">
                  <c:v>0.246</c:v>
                </c:pt>
                <c:pt idx="4">
                  <c:v>0.32800000000000001</c:v>
                </c:pt>
                <c:pt idx="5">
                  <c:v>0.41299999999999998</c:v>
                </c:pt>
                <c:pt idx="6">
                  <c:v>0.499</c:v>
                </c:pt>
                <c:pt idx="7">
                  <c:v>0.58499999999999996</c:v>
                </c:pt>
                <c:pt idx="8">
                  <c:v>0.67</c:v>
                </c:pt>
                <c:pt idx="9">
                  <c:v>0.754</c:v>
                </c:pt>
                <c:pt idx="10">
                  <c:v>0.83499999999999996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485-4F49-8FD6-1C3DE6E49C21}"/>
            </c:ext>
          </c:extLst>
        </c:ser>
        <c:ser>
          <c:idx val="1"/>
          <c:order val="1"/>
          <c:tx>
            <c:strRef>
              <c:f>{"25度"}</c:f>
              <c:strCache>
                <c:ptCount val="1"/>
                <c:pt idx="0">
                  <c:v>25度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6462017462716874"/>
                  <c:y val="1.38863310343963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ED7D3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工作表1!B1:L1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工作表1!B3:L3</c:f>
              <c:numCache>
                <c:formatCode>General</c:formatCode>
                <c:ptCount val="11"/>
                <c:pt idx="0">
                  <c:v>3.9E-2</c:v>
                </c:pt>
                <c:pt idx="1">
                  <c:v>0.10299999999999999</c:v>
                </c:pt>
                <c:pt idx="2">
                  <c:v>0.187</c:v>
                </c:pt>
                <c:pt idx="3">
                  <c:v>0.27600000000000002</c:v>
                </c:pt>
                <c:pt idx="4">
                  <c:v>0.36899999999999999</c:v>
                </c:pt>
                <c:pt idx="5">
                  <c:v>0.46400000000000002</c:v>
                </c:pt>
                <c:pt idx="6">
                  <c:v>0.55700000000000005</c:v>
                </c:pt>
                <c:pt idx="7">
                  <c:v>0.64900000000000002</c:v>
                </c:pt>
                <c:pt idx="8">
                  <c:v>0.73899999999999999</c:v>
                </c:pt>
                <c:pt idx="9">
                  <c:v>0.82499999999999996</c:v>
                </c:pt>
                <c:pt idx="10">
                  <c:v>0.90700000000000003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485-4F49-8FD6-1C3DE6E49C21}"/>
            </c:ext>
          </c:extLst>
        </c:ser>
        <c:ser>
          <c:idx val="2"/>
          <c:order val="2"/>
          <c:tx>
            <c:strRef>
              <c:f>{"35度"}</c:f>
              <c:strCache>
                <c:ptCount val="1"/>
                <c:pt idx="0">
                  <c:v>35度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333077634636646"/>
                  <c:y val="1.21945138719235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A5A5A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工作表1!B1:L1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工作表1!B4:L4</c:f>
              <c:numCache>
                <c:formatCode>General</c:formatCode>
                <c:ptCount val="11"/>
                <c:pt idx="0">
                  <c:v>5.7000000000000002E-2</c:v>
                </c:pt>
                <c:pt idx="1">
                  <c:v>0.155</c:v>
                </c:pt>
                <c:pt idx="2">
                  <c:v>0.26300000000000001</c:v>
                </c:pt>
                <c:pt idx="3">
                  <c:v>0.372</c:v>
                </c:pt>
                <c:pt idx="4">
                  <c:v>0.47899999999999998</c:v>
                </c:pt>
                <c:pt idx="5">
                  <c:v>0.58299999999999996</c:v>
                </c:pt>
                <c:pt idx="6">
                  <c:v>0.68300000000000005</c:v>
                </c:pt>
                <c:pt idx="7">
                  <c:v>0.77700000000000002</c:v>
                </c:pt>
                <c:pt idx="8">
                  <c:v>0.86699999999999999</c:v>
                </c:pt>
                <c:pt idx="9">
                  <c:v>0.95099999999999996</c:v>
                </c:pt>
                <c:pt idx="10">
                  <c:v>1.032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485-4F49-8FD6-1C3DE6E49C21}"/>
            </c:ext>
          </c:extLst>
        </c:ser>
        <c:ser>
          <c:idx val="3"/>
          <c:order val="3"/>
          <c:tx>
            <c:strRef>
              <c:f>{"45度"}</c:f>
              <c:strCache>
                <c:ptCount val="1"/>
                <c:pt idx="0">
                  <c:v>45度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333077634636646"/>
                  <c:y val="1.682671527634224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工作表1!B1:L1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工作表1!B5:L5</c:f>
              <c:numCache>
                <c:formatCode>General</c:formatCode>
                <c:ptCount val="11"/>
                <c:pt idx="0">
                  <c:v>0.19500000000000001</c:v>
                </c:pt>
                <c:pt idx="1">
                  <c:v>0.34100000000000003</c:v>
                </c:pt>
                <c:pt idx="2">
                  <c:v>0.46100000000000002</c:v>
                </c:pt>
                <c:pt idx="3">
                  <c:v>0.57799999999999996</c:v>
                </c:pt>
                <c:pt idx="4">
                  <c:v>0.68899999999999995</c:v>
                </c:pt>
                <c:pt idx="5">
                  <c:v>0.79500000000000004</c:v>
                </c:pt>
                <c:pt idx="6">
                  <c:v>0.89500000000000002</c:v>
                </c:pt>
                <c:pt idx="7">
                  <c:v>0.98899999999999999</c:v>
                </c:pt>
                <c:pt idx="8">
                  <c:v>1.077</c:v>
                </c:pt>
                <c:pt idx="9">
                  <c:v>1.1599999999999999</c:v>
                </c:pt>
                <c:pt idx="10">
                  <c:v>1.2370000000000001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8485-4F49-8FD6-1C3DE6E49C21}"/>
            </c:ext>
          </c:extLst>
        </c:ser>
        <c:ser>
          <c:idx val="4"/>
          <c:order val="4"/>
          <c:tx>
            <c:strRef>
              <c:f>{"55度"}</c:f>
              <c:strCache>
                <c:ptCount val="1"/>
                <c:pt idx="0">
                  <c:v>55度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142055667110379"/>
                  <c:y val="-3.219514028526892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4472C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工作表1!B1:L1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工作表1!B6:L6</c:f>
              <c:numCache>
                <c:formatCode>General</c:formatCode>
                <c:ptCount val="11"/>
                <c:pt idx="0">
                  <c:v>0.08</c:v>
                </c:pt>
                <c:pt idx="1">
                  <c:v>0.19900000000000001</c:v>
                </c:pt>
                <c:pt idx="2">
                  <c:v>0.32400000000000001</c:v>
                </c:pt>
                <c:pt idx="3">
                  <c:v>0.438</c:v>
                </c:pt>
                <c:pt idx="4">
                  <c:v>0.54800000000000004</c:v>
                </c:pt>
                <c:pt idx="5">
                  <c:v>0.65100000000000002</c:v>
                </c:pt>
                <c:pt idx="6">
                  <c:v>0.746</c:v>
                </c:pt>
                <c:pt idx="7">
                  <c:v>0.83699999999999997</c:v>
                </c:pt>
                <c:pt idx="8">
                  <c:v>0.92200000000000004</c:v>
                </c:pt>
                <c:pt idx="9">
                  <c:v>1.002</c:v>
                </c:pt>
                <c:pt idx="10">
                  <c:v>1.0760000000000001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485-4F49-8FD6-1C3DE6E49C21}"/>
            </c:ext>
          </c:extLst>
        </c:ser>
        <c:ser>
          <c:idx val="5"/>
          <c:order val="5"/>
          <c:tx>
            <c:strRef>
              <c:f>{"65度"}</c:f>
              <c:strCache>
                <c:ptCount val="1"/>
                <c:pt idx="0">
                  <c:v>65度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142055667110379"/>
                  <c:y val="-1.145183820996122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70AD47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工作表1!B1:L1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工作表1!B7:L7</c:f>
              <c:numCache>
                <c:formatCode>General</c:formatCode>
                <c:ptCount val="11"/>
                <c:pt idx="0">
                  <c:v>5.5E-2</c:v>
                </c:pt>
                <c:pt idx="1">
                  <c:v>0.159</c:v>
                </c:pt>
                <c:pt idx="2">
                  <c:v>0.26200000000000001</c:v>
                </c:pt>
                <c:pt idx="3">
                  <c:v>0.35899999999999999</c:v>
                </c:pt>
                <c:pt idx="4">
                  <c:v>0.45100000000000001</c:v>
                </c:pt>
                <c:pt idx="5">
                  <c:v>0.53200000000000003</c:v>
                </c:pt>
                <c:pt idx="6">
                  <c:v>0.61399999999999999</c:v>
                </c:pt>
                <c:pt idx="7">
                  <c:v>0.69599999999999995</c:v>
                </c:pt>
                <c:pt idx="8">
                  <c:v>0.76400000000000001</c:v>
                </c:pt>
                <c:pt idx="9">
                  <c:v>0.83399999999999996</c:v>
                </c:pt>
                <c:pt idx="10">
                  <c:v>0.90200000000000002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8485-4F49-8FD6-1C3DE6E49C21}"/>
            </c:ext>
          </c:extLst>
        </c:ser>
        <c:ser>
          <c:idx val="6"/>
          <c:order val="6"/>
          <c:tx>
            <c:strRef>
              <c:f>{"75度"}</c:f>
              <c:strCache>
                <c:ptCount val="1"/>
                <c:pt idx="0">
                  <c:v>75度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6496401416871601"/>
                  <c:y val="-6.177688409473875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44546A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工作表1!B1:L1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工作表1!B8:L8</c:f>
              <c:numCache>
                <c:formatCode>General</c:formatCode>
                <c:ptCount val="11"/>
                <c:pt idx="0">
                  <c:v>6.0000000000000001E-3</c:v>
                </c:pt>
                <c:pt idx="1">
                  <c:v>8.9999999999999993E-3</c:v>
                </c:pt>
                <c:pt idx="2">
                  <c:v>1.0999999999999999E-2</c:v>
                </c:pt>
                <c:pt idx="3">
                  <c:v>1.4E-2</c:v>
                </c:pt>
                <c:pt idx="4">
                  <c:v>1.7000000000000001E-2</c:v>
                </c:pt>
                <c:pt idx="5">
                  <c:v>0.02</c:v>
                </c:pt>
                <c:pt idx="6">
                  <c:v>2.3E-2</c:v>
                </c:pt>
                <c:pt idx="7">
                  <c:v>2.5000000000000001E-2</c:v>
                </c:pt>
                <c:pt idx="8">
                  <c:v>2.8000000000000001E-2</c:v>
                </c:pt>
                <c:pt idx="9">
                  <c:v>0.03</c:v>
                </c:pt>
                <c:pt idx="10">
                  <c:v>3.3000000000000002E-2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485-4F49-8FD6-1C3DE6E49C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9104136"/>
        <c:axId val="1749106184"/>
      </c:scatterChart>
      <c:valAx>
        <c:axId val="1749104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時間 </a:t>
                </a:r>
                <a:r>
                  <a:rPr lang="en-US" altLang="ja-JP"/>
                  <a:t>(second)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106184"/>
        <c:crosses val="autoZero"/>
        <c:crossBetween val="midCat"/>
      </c:valAx>
      <c:valAx>
        <c:axId val="1749106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吸光值 </a:t>
                </a:r>
                <a:r>
                  <a:rPr lang="en-US" altLang="ja-JP"/>
                  <a:t>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104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ALP</a:t>
            </a:r>
            <a:r>
              <a:rPr lang="ja-JP" altLang="en-US"/>
              <a:t>在不同溫度下的反應速率 </a:t>
            </a:r>
            <a:r>
              <a:rPr lang="en-US" altLang="ja-JP"/>
              <a:t>-- </a:t>
            </a:r>
            <a:r>
              <a:rPr lang="ja-JP" altLang="en-US"/>
              <a:t>控溫版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kinetic assay</c:v>
          </c:tx>
          <c:spPr>
            <a:ln w="28575" cap="rnd">
              <a:solidFill>
                <a:srgbClr val="7030A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 w="9525">
                <a:solidFill>
                  <a:srgbClr val="7030A0"/>
                </a:solidFill>
                <a:prstDash val="solid"/>
              </a:ln>
              <a:effectLst/>
            </c:spPr>
          </c:marker>
          <c:xVal>
            <c:numRef>
              <c:f>工作表1!A2:A8</c:f>
              <c:numCache>
                <c:formatCode>General</c:formatCode>
                <c:ptCount val="7"/>
                <c:pt idx="0">
                  <c:v>15</c:v>
                </c:pt>
                <c:pt idx="1">
                  <c:v>25</c:v>
                </c:pt>
                <c:pt idx="2">
                  <c:v>35</c:v>
                </c:pt>
                <c:pt idx="3">
                  <c:v>45</c:v>
                </c:pt>
                <c:pt idx="4">
                  <c:v>55</c:v>
                </c:pt>
                <c:pt idx="5">
                  <c:v>65</c:v>
                </c:pt>
                <c:pt idx="6">
                  <c:v>75</c:v>
                </c:pt>
              </c:numCache>
            </c:numRef>
          </c:xVal>
          <c:yVal>
            <c:numRef>
              <c:f>工作表1!$O$2:$O$8</c:f>
              <c:numCache>
                <c:formatCode>General</c:formatCode>
                <c:ptCount val="7"/>
                <c:pt idx="0">
                  <c:v>8.6170212765957453E-3</c:v>
                </c:pt>
                <c:pt idx="1">
                  <c:v>9.5744680851063829E-3</c:v>
                </c:pt>
                <c:pt idx="2">
                  <c:v>1.0531914893617021E-2</c:v>
                </c:pt>
                <c:pt idx="3">
                  <c:v>1.0851063829787233E-2</c:v>
                </c:pt>
                <c:pt idx="4">
                  <c:v>1.0531914893617021E-2</c:v>
                </c:pt>
                <c:pt idx="5">
                  <c:v>8.6170212765957453E-3</c:v>
                </c:pt>
                <c:pt idx="6">
                  <c:v>2.8723404255319147E-4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11C-4B33-B421-AE2A585331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8988936"/>
        <c:axId val="1709015560"/>
      </c:scatterChart>
      <c:valAx>
        <c:axId val="1708988936"/>
        <c:scaling>
          <c:orientation val="minMax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溫度 </a:t>
                </a:r>
                <a:r>
                  <a:rPr lang="en-US" altLang="ja-JP"/>
                  <a:t>(</a:t>
                </a:r>
                <a:r>
                  <a:rPr lang="ja-JP" altLang="en-US"/>
                  <a:t>攝氏</a:t>
                </a:r>
                <a:r>
                  <a:rPr lang="en-US" altLang="ja-JP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015560"/>
        <c:crosses val="autoZero"/>
        <c:crossBetween val="midCat"/>
      </c:valAx>
      <c:valAx>
        <c:axId val="1709015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速率 </a:t>
                </a:r>
                <a:r>
                  <a:rPr lang="en-US" altLang="ja-JP"/>
                  <a:t>(</a:t>
                </a:r>
                <a:r>
                  <a:rPr lang="el-GR" altLang="ja-JP"/>
                  <a:t>μ </a:t>
                </a:r>
                <a:r>
                  <a:rPr lang="en-US" altLang="ja-JP"/>
                  <a:t>mole/min)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988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PNP </a:t>
            </a:r>
            <a:r>
              <a:rPr lang="ja-JP" altLang="en-US"/>
              <a:t>在不同溫度下的吸收光度 </a:t>
            </a:r>
            <a:r>
              <a:rPr lang="en-US" altLang="ja-JP"/>
              <a:t>-- </a:t>
            </a:r>
            <a:r>
              <a:rPr lang="ja-JP" altLang="en-US"/>
              <a:t>未控溫版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{"15度"}</c:f>
              <c:strCache>
                <c:ptCount val="1"/>
                <c:pt idx="0">
                  <c:v>15度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333077634636646"/>
                  <c:y val="1.9078044838667242E-2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2F75B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工作表1!B1:L1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工作表1!B13:L13</c:f>
              <c:numCache>
                <c:formatCode>General</c:formatCode>
                <c:ptCount val="11"/>
                <c:pt idx="0">
                  <c:v>0.03</c:v>
                </c:pt>
                <c:pt idx="1">
                  <c:v>7.4999999999999997E-2</c:v>
                </c:pt>
                <c:pt idx="2">
                  <c:v>0.13500000000000001</c:v>
                </c:pt>
                <c:pt idx="3">
                  <c:v>0.20200000000000001</c:v>
                </c:pt>
                <c:pt idx="4">
                  <c:v>0.27400000000000002</c:v>
                </c:pt>
                <c:pt idx="5">
                  <c:v>0.35</c:v>
                </c:pt>
                <c:pt idx="6">
                  <c:v>0.42899999999999999</c:v>
                </c:pt>
                <c:pt idx="7">
                  <c:v>0.51</c:v>
                </c:pt>
                <c:pt idx="8">
                  <c:v>0.59099999999999997</c:v>
                </c:pt>
                <c:pt idx="9">
                  <c:v>0.67200000000000004</c:v>
                </c:pt>
                <c:pt idx="10">
                  <c:v>0.752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6DA-42FB-8B59-C822A196901C}"/>
            </c:ext>
          </c:extLst>
        </c:ser>
        <c:ser>
          <c:idx val="1"/>
          <c:order val="1"/>
          <c:tx>
            <c:strRef>
              <c:f>{"25度"}</c:f>
              <c:strCache>
                <c:ptCount val="1"/>
                <c:pt idx="0">
                  <c:v>25度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6462017462716874"/>
                  <c:y val="1.38863310343963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ED7D3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工作表1!B1:L1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工作表1!B14:L14</c:f>
              <c:numCache>
                <c:formatCode>General</c:formatCode>
                <c:ptCount val="11"/>
                <c:pt idx="0">
                  <c:v>3.5000000000000003E-2</c:v>
                </c:pt>
                <c:pt idx="1">
                  <c:v>0.10199999999999999</c:v>
                </c:pt>
                <c:pt idx="2">
                  <c:v>0.19500000000000001</c:v>
                </c:pt>
                <c:pt idx="3">
                  <c:v>0.28899999999999998</c:v>
                </c:pt>
                <c:pt idx="4">
                  <c:v>0.38700000000000001</c:v>
                </c:pt>
                <c:pt idx="5">
                  <c:v>0.48799999999999999</c:v>
                </c:pt>
                <c:pt idx="6">
                  <c:v>0.58699999999999997</c:v>
                </c:pt>
                <c:pt idx="7">
                  <c:v>0.68500000000000005</c:v>
                </c:pt>
                <c:pt idx="8">
                  <c:v>0.78100000000000003</c:v>
                </c:pt>
                <c:pt idx="9">
                  <c:v>0.873</c:v>
                </c:pt>
                <c:pt idx="10">
                  <c:v>0.96199999999999997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6DA-42FB-8B59-C822A196901C}"/>
            </c:ext>
          </c:extLst>
        </c:ser>
        <c:ser>
          <c:idx val="2"/>
          <c:order val="2"/>
          <c:tx>
            <c:strRef>
              <c:f>{"35度"}</c:f>
              <c:strCache>
                <c:ptCount val="1"/>
                <c:pt idx="0">
                  <c:v>35度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333077634636646"/>
                  <c:y val="1.219451387192352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A5A5A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工作表1!B1:L1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工作表1!B15:L15</c:f>
              <c:numCache>
                <c:formatCode>General</c:formatCode>
                <c:ptCount val="11"/>
                <c:pt idx="0">
                  <c:v>0.05</c:v>
                </c:pt>
                <c:pt idx="1">
                  <c:v>0.152</c:v>
                </c:pt>
                <c:pt idx="2">
                  <c:v>0.27100000000000002</c:v>
                </c:pt>
                <c:pt idx="3">
                  <c:v>0.39300000000000002</c:v>
                </c:pt>
                <c:pt idx="4">
                  <c:v>0.51400000000000001</c:v>
                </c:pt>
                <c:pt idx="5">
                  <c:v>0.63100000000000001</c:v>
                </c:pt>
                <c:pt idx="6">
                  <c:v>0.74399999999999999</c:v>
                </c:pt>
                <c:pt idx="7">
                  <c:v>0.85199999999999998</c:v>
                </c:pt>
                <c:pt idx="8">
                  <c:v>0.95399999999999996</c:v>
                </c:pt>
                <c:pt idx="9">
                  <c:v>1.05</c:v>
                </c:pt>
                <c:pt idx="10">
                  <c:v>1.1399999999999999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6DA-42FB-8B59-C822A196901C}"/>
            </c:ext>
          </c:extLst>
        </c:ser>
        <c:ser>
          <c:idx val="3"/>
          <c:order val="3"/>
          <c:tx>
            <c:strRef>
              <c:f>{"45度"}</c:f>
              <c:strCache>
                <c:ptCount val="1"/>
                <c:pt idx="0">
                  <c:v>45度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623130203280464"/>
                  <c:y val="-3.839699893628404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FFC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工作表1!B1:L1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工作表1!B16:L16</c:f>
              <c:numCache>
                <c:formatCode>General</c:formatCode>
                <c:ptCount val="11"/>
                <c:pt idx="0">
                  <c:v>5.3999999999999999E-2</c:v>
                </c:pt>
                <c:pt idx="1">
                  <c:v>0.17499999999999999</c:v>
                </c:pt>
                <c:pt idx="2">
                  <c:v>0.318</c:v>
                </c:pt>
                <c:pt idx="3">
                  <c:v>0.45700000000000002</c:v>
                </c:pt>
                <c:pt idx="4">
                  <c:v>0.59099999999999997</c:v>
                </c:pt>
                <c:pt idx="5">
                  <c:v>0.71699999999999997</c:v>
                </c:pt>
                <c:pt idx="6">
                  <c:v>0.83399999999999996</c:v>
                </c:pt>
                <c:pt idx="7">
                  <c:v>0.94399999999999995</c:v>
                </c:pt>
                <c:pt idx="8">
                  <c:v>1.046</c:v>
                </c:pt>
                <c:pt idx="9">
                  <c:v>1.141</c:v>
                </c:pt>
                <c:pt idx="10">
                  <c:v>1.228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86DA-42FB-8B59-C822A196901C}"/>
            </c:ext>
          </c:extLst>
        </c:ser>
        <c:ser>
          <c:idx val="4"/>
          <c:order val="4"/>
          <c:tx>
            <c:strRef>
              <c:f>{"55度"}</c:f>
              <c:strCache>
                <c:ptCount val="1"/>
                <c:pt idx="0">
                  <c:v>55度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5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7142055667110379"/>
                  <c:y val="-3.2195140285268928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4472C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工作表1!B1:L1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工作表1!B17:L17</c:f>
              <c:numCache>
                <c:formatCode>General</c:formatCode>
                <c:ptCount val="11"/>
                <c:pt idx="0">
                  <c:v>5.7000000000000002E-2</c:v>
                </c:pt>
                <c:pt idx="1">
                  <c:v>0.20100000000000001</c:v>
                </c:pt>
                <c:pt idx="2">
                  <c:v>0.35599999999999998</c:v>
                </c:pt>
                <c:pt idx="3">
                  <c:v>0.52600000000000002</c:v>
                </c:pt>
                <c:pt idx="4">
                  <c:v>0.67300000000000004</c:v>
                </c:pt>
                <c:pt idx="5">
                  <c:v>0.80900000000000005</c:v>
                </c:pt>
                <c:pt idx="6">
                  <c:v>0.93500000000000005</c:v>
                </c:pt>
                <c:pt idx="7">
                  <c:v>1.0509999999999999</c:v>
                </c:pt>
                <c:pt idx="8">
                  <c:v>1.157</c:v>
                </c:pt>
                <c:pt idx="9">
                  <c:v>1.2529999999999999</c:v>
                </c:pt>
                <c:pt idx="10">
                  <c:v>1.3420000000000001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86DA-42FB-8B59-C822A196901C}"/>
            </c:ext>
          </c:extLst>
        </c:ser>
        <c:ser>
          <c:idx val="5"/>
          <c:order val="5"/>
          <c:tx>
            <c:strRef>
              <c:f>{"65度"}</c:f>
              <c:strCache>
                <c:ptCount val="1"/>
                <c:pt idx="0">
                  <c:v>65度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6833021230512374"/>
                  <c:y val="-9.1819457819571114E-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70AD47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工作表1!B1:L1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工作表1!B18:L18</c:f>
              <c:numCache>
                <c:formatCode>General</c:formatCode>
                <c:ptCount val="11"/>
                <c:pt idx="0">
                  <c:v>6.8000000000000005E-2</c:v>
                </c:pt>
                <c:pt idx="1">
                  <c:v>0.26600000000000001</c:v>
                </c:pt>
                <c:pt idx="2">
                  <c:v>0.45800000000000002</c:v>
                </c:pt>
                <c:pt idx="3">
                  <c:v>0.628</c:v>
                </c:pt>
                <c:pt idx="4">
                  <c:v>0.79100000000000004</c:v>
                </c:pt>
                <c:pt idx="5">
                  <c:v>0.93300000000000005</c:v>
                </c:pt>
                <c:pt idx="6">
                  <c:v>1.0609999999999999</c:v>
                </c:pt>
                <c:pt idx="7">
                  <c:v>1.1759999999999999</c:v>
                </c:pt>
                <c:pt idx="8">
                  <c:v>1.272</c:v>
                </c:pt>
                <c:pt idx="9">
                  <c:v>1.3720000000000001</c:v>
                </c:pt>
                <c:pt idx="10">
                  <c:v>1.454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86DA-42FB-8B59-C822A196901C}"/>
            </c:ext>
          </c:extLst>
        </c:ser>
        <c:ser>
          <c:idx val="6"/>
          <c:order val="6"/>
          <c:tx>
            <c:strRef>
              <c:f>{"75度"}</c:f>
              <c:strCache>
                <c:ptCount val="1"/>
                <c:pt idx="0">
                  <c:v>75度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>
                    <a:lumMod val="60000"/>
                  </a:schemeClr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0.16720318269671877"/>
                  <c:y val="-3.7347381936970112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1" i="0" u="none" strike="noStrike" kern="1200" baseline="0">
                      <a:solidFill>
                        <a:srgbClr val="44546A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工作表1!B1:L1</c:f>
              <c:numCache>
                <c:formatCode>General</c:formatCode>
                <c:ptCount val="11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</c:numCache>
            </c:numRef>
          </c:xVal>
          <c:yVal>
            <c:numRef>
              <c:f>工作表1!B19:L19</c:f>
              <c:numCache>
                <c:formatCode>General</c:formatCode>
                <c:ptCount val="11"/>
                <c:pt idx="0">
                  <c:v>7.5999999999999998E-2</c:v>
                </c:pt>
                <c:pt idx="1">
                  <c:v>0.30399999999999999</c:v>
                </c:pt>
                <c:pt idx="2">
                  <c:v>0.495</c:v>
                </c:pt>
                <c:pt idx="3">
                  <c:v>0.67700000000000005</c:v>
                </c:pt>
                <c:pt idx="4">
                  <c:v>0.83899999999999997</c:v>
                </c:pt>
                <c:pt idx="5">
                  <c:v>0.98199999999999998</c:v>
                </c:pt>
                <c:pt idx="6">
                  <c:v>1.1080000000000001</c:v>
                </c:pt>
                <c:pt idx="7">
                  <c:v>1.218</c:v>
                </c:pt>
                <c:pt idx="8">
                  <c:v>1.3160000000000001</c:v>
                </c:pt>
                <c:pt idx="9">
                  <c:v>1.4019999999999999</c:v>
                </c:pt>
                <c:pt idx="10">
                  <c:v>1.4750000000000001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86DA-42FB-8B59-C822A1969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9104136"/>
        <c:axId val="1749106184"/>
      </c:scatterChart>
      <c:valAx>
        <c:axId val="1749104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時間 </a:t>
                </a:r>
                <a:r>
                  <a:rPr lang="en-US" altLang="ja-JP"/>
                  <a:t>(second)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106184"/>
        <c:crosses val="autoZero"/>
        <c:crossBetween val="midCat"/>
      </c:valAx>
      <c:valAx>
        <c:axId val="1749106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吸光值 </a:t>
                </a:r>
                <a:r>
                  <a:rPr lang="en-US" altLang="ja-JP"/>
                  <a:t>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1041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ja-JP"/>
              <a:t>ALP</a:t>
            </a:r>
            <a:r>
              <a:rPr lang="ja-JP" altLang="en-US"/>
              <a:t>在不同溫度下的反應速率 </a:t>
            </a:r>
            <a:r>
              <a:rPr lang="en-US" altLang="ja-JP"/>
              <a:t>-- </a:t>
            </a:r>
            <a:r>
              <a:rPr lang="ja-JP" altLang="en-US"/>
              <a:t>未控溫版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kinetic assay</c:v>
          </c:tx>
          <c:spPr>
            <a:ln w="28575" cap="rnd">
              <a:solidFill>
                <a:srgbClr val="00B05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FFFFFF"/>
              </a:solidFill>
              <a:ln w="9525">
                <a:solidFill>
                  <a:srgbClr val="00B050"/>
                </a:solidFill>
                <a:prstDash val="solid"/>
              </a:ln>
              <a:effectLst/>
            </c:spPr>
          </c:marker>
          <c:xVal>
            <c:numRef>
              <c:f>工作表1!A13:A19</c:f>
              <c:numCache>
                <c:formatCode>General</c:formatCode>
                <c:ptCount val="7"/>
                <c:pt idx="0">
                  <c:v>15</c:v>
                </c:pt>
                <c:pt idx="1">
                  <c:v>25</c:v>
                </c:pt>
                <c:pt idx="2">
                  <c:v>35</c:v>
                </c:pt>
                <c:pt idx="3">
                  <c:v>45</c:v>
                </c:pt>
                <c:pt idx="4">
                  <c:v>55</c:v>
                </c:pt>
                <c:pt idx="5">
                  <c:v>65</c:v>
                </c:pt>
                <c:pt idx="6">
                  <c:v>75</c:v>
                </c:pt>
              </c:numCache>
            </c:numRef>
          </c:xVal>
          <c:yVal>
            <c:numRef>
              <c:f>工作表1!O13:O19</c:f>
              <c:numCache>
                <c:formatCode>General</c:formatCode>
                <c:ptCount val="7"/>
                <c:pt idx="0">
                  <c:v>7.9787234042553185E-3</c:v>
                </c:pt>
                <c:pt idx="1">
                  <c:v>1.0212765957446808E-2</c:v>
                </c:pt>
                <c:pt idx="2">
                  <c:v>1.1808510638297872E-2</c:v>
                </c:pt>
                <c:pt idx="3">
                  <c:v>1.276595744680851E-2</c:v>
                </c:pt>
                <c:pt idx="4">
                  <c:v>1.3723404255319149E-2</c:v>
                </c:pt>
                <c:pt idx="5">
                  <c:v>1.4680851063829789E-2</c:v>
                </c:pt>
                <c:pt idx="6">
                  <c:v>1.4680851063829789E-2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F2-4D42-8834-5416225D6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08988936"/>
        <c:axId val="1709015560"/>
      </c:scatterChart>
      <c:valAx>
        <c:axId val="1708988936"/>
        <c:scaling>
          <c:orientation val="minMax"/>
          <c:min val="1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溫度 </a:t>
                </a:r>
                <a:r>
                  <a:rPr lang="en-US" altLang="ja-JP"/>
                  <a:t>(</a:t>
                </a:r>
                <a:r>
                  <a:rPr lang="ja-JP" altLang="en-US"/>
                  <a:t>攝氏</a:t>
                </a:r>
                <a:r>
                  <a:rPr lang="en-US" altLang="ja-JP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015560"/>
        <c:crosses val="autoZero"/>
        <c:crossBetween val="midCat"/>
      </c:valAx>
      <c:valAx>
        <c:axId val="1709015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速率 </a:t>
                </a:r>
                <a:r>
                  <a:rPr lang="en-US" altLang="ja-JP"/>
                  <a:t>(</a:t>
                </a:r>
                <a:r>
                  <a:rPr lang="el-GR" altLang="ja-JP"/>
                  <a:t>μ </a:t>
                </a:r>
                <a:r>
                  <a:rPr lang="en-US" altLang="ja-JP"/>
                  <a:t>mole/min)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898893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361950</xdr:colOff>
      <xdr:row>0</xdr:row>
      <xdr:rowOff>9525</xdr:rowOff>
    </xdr:from>
    <xdr:to>
      <xdr:col>26</xdr:col>
      <xdr:colOff>304800</xdr:colOff>
      <xdr:row>20</xdr:row>
      <xdr:rowOff>171450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F8F8C9E-117B-AC15-1C28-201369C82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314325</xdr:colOff>
      <xdr:row>0</xdr:row>
      <xdr:rowOff>19050</xdr:rowOff>
    </xdr:from>
    <xdr:to>
      <xdr:col>35</xdr:col>
      <xdr:colOff>361950</xdr:colOff>
      <xdr:row>20</xdr:row>
      <xdr:rowOff>171450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517905FB-7CBF-451E-35F3-D8FCA9D8695A}"/>
            </a:ext>
            <a:ext uri="{147F2762-F138-4A5C-976F-8EAC2B608ADB}">
              <a16:predDERef xmlns:a16="http://schemas.microsoft.com/office/drawing/2014/main" pred="{AF8F8C9E-117B-AC15-1C28-201369C825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333375</xdr:colOff>
      <xdr:row>21</xdr:row>
      <xdr:rowOff>19050</xdr:rowOff>
    </xdr:from>
    <xdr:to>
      <xdr:col>26</xdr:col>
      <xdr:colOff>276225</xdr:colOff>
      <xdr:row>41</xdr:row>
      <xdr:rowOff>180975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5BC70EBD-8D15-4BDA-ACB2-D7D4955C1AAA}"/>
            </a:ext>
            <a:ext uri="{147F2762-F138-4A5C-976F-8EAC2B608ADB}">
              <a16:predDERef xmlns:a16="http://schemas.microsoft.com/office/drawing/2014/main" pred="{517905FB-7CBF-451E-35F3-D8FCA9D86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276225</xdr:colOff>
      <xdr:row>21</xdr:row>
      <xdr:rowOff>0</xdr:rowOff>
    </xdr:from>
    <xdr:to>
      <xdr:col>35</xdr:col>
      <xdr:colOff>323850</xdr:colOff>
      <xdr:row>41</xdr:row>
      <xdr:rowOff>152400</xdr:rowOff>
    </xdr:to>
    <xdr:graphicFrame macro="">
      <xdr:nvGraphicFramePr>
        <xdr:cNvPr id="5" name="圖表 4">
          <a:extLst>
            <a:ext uri="{FF2B5EF4-FFF2-40B4-BE49-F238E27FC236}">
              <a16:creationId xmlns:a16="http://schemas.microsoft.com/office/drawing/2014/main" id="{01F48BAA-061B-48DA-BC55-8E8D430D331A}"/>
            </a:ext>
            <a:ext uri="{147F2762-F138-4A5C-976F-8EAC2B608ADB}">
              <a16:predDERef xmlns:a16="http://schemas.microsoft.com/office/drawing/2014/main" pred="{5BC70EBD-8D15-4BDA-ACB2-D7D4955C1A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topLeftCell="O1" workbookViewId="0">
      <selection activeCell="AN20" sqref="AN20"/>
    </sheetView>
  </sheetViews>
  <sheetFormatPr defaultRowHeight="15"/>
  <cols>
    <col min="1" max="1" width="11.5703125" bestFit="1" customWidth="1"/>
    <col min="10" max="10" width="20" bestFit="1" customWidth="1"/>
    <col min="12" max="12" width="18.85546875" bestFit="1" customWidth="1"/>
    <col min="13" max="13" width="14.140625" bestFit="1" customWidth="1"/>
    <col min="14" max="14" width="9.42578125" bestFit="1" customWidth="1"/>
    <col min="15" max="15" width="20" bestFit="1" customWidth="1"/>
  </cols>
  <sheetData>
    <row r="1" spans="1:15">
      <c r="A1" t="s">
        <v>0</v>
      </c>
      <c r="B1">
        <v>0</v>
      </c>
      <c r="C1">
        <v>30</v>
      </c>
      <c r="D1">
        <v>60</v>
      </c>
      <c r="E1">
        <v>90</v>
      </c>
      <c r="F1">
        <v>120</v>
      </c>
      <c r="G1">
        <v>150</v>
      </c>
      <c r="H1">
        <v>180</v>
      </c>
      <c r="I1">
        <v>210</v>
      </c>
      <c r="J1">
        <v>240</v>
      </c>
      <c r="K1">
        <v>270</v>
      </c>
      <c r="L1">
        <v>300</v>
      </c>
      <c r="N1" t="s">
        <v>1</v>
      </c>
      <c r="O1" t="s">
        <v>2</v>
      </c>
    </row>
    <row r="2" spans="1:15">
      <c r="A2">
        <v>15</v>
      </c>
      <c r="B2">
        <v>3.5999999999999997E-2</v>
      </c>
      <c r="C2">
        <v>0.10199999999999999</v>
      </c>
      <c r="D2">
        <v>0.16900000000000001</v>
      </c>
      <c r="E2">
        <v>0.246</v>
      </c>
      <c r="F2">
        <v>0.32800000000000001</v>
      </c>
      <c r="G2">
        <v>0.41299999999999998</v>
      </c>
      <c r="H2">
        <v>0.499</v>
      </c>
      <c r="I2">
        <v>0.58499999999999996</v>
      </c>
      <c r="J2">
        <v>0.67</v>
      </c>
      <c r="K2">
        <v>0.754</v>
      </c>
      <c r="L2">
        <v>0.83499999999999996</v>
      </c>
      <c r="N2">
        <v>2.7000000000000001E-3</v>
      </c>
      <c r="O2">
        <f>N2*60/18.8</f>
        <v>8.6170212765957453E-3</v>
      </c>
    </row>
    <row r="3" spans="1:15">
      <c r="A3">
        <v>25</v>
      </c>
      <c r="B3">
        <v>3.9E-2</v>
      </c>
      <c r="C3">
        <v>0.10299999999999999</v>
      </c>
      <c r="D3">
        <v>0.187</v>
      </c>
      <c r="E3">
        <v>0.27600000000000002</v>
      </c>
      <c r="F3">
        <v>0.36899999999999999</v>
      </c>
      <c r="G3">
        <v>0.46400000000000002</v>
      </c>
      <c r="H3">
        <v>0.55700000000000005</v>
      </c>
      <c r="I3">
        <v>0.64900000000000002</v>
      </c>
      <c r="J3">
        <v>0.73899999999999999</v>
      </c>
      <c r="K3">
        <v>0.82499999999999996</v>
      </c>
      <c r="L3">
        <v>0.90700000000000003</v>
      </c>
      <c r="N3">
        <v>3.0000000000000001E-3</v>
      </c>
      <c r="O3">
        <f t="shared" ref="O3:O8" si="0">N3*60/18.8</f>
        <v>9.5744680851063829E-3</v>
      </c>
    </row>
    <row r="4" spans="1:15">
      <c r="A4">
        <v>35</v>
      </c>
      <c r="B4">
        <v>5.7000000000000002E-2</v>
      </c>
      <c r="C4">
        <v>0.155</v>
      </c>
      <c r="D4">
        <v>0.26300000000000001</v>
      </c>
      <c r="E4">
        <v>0.372</v>
      </c>
      <c r="F4">
        <v>0.47899999999999998</v>
      </c>
      <c r="G4">
        <v>0.58299999999999996</v>
      </c>
      <c r="H4">
        <v>0.68300000000000005</v>
      </c>
      <c r="I4">
        <v>0.77700000000000002</v>
      </c>
      <c r="J4">
        <v>0.86699999999999999</v>
      </c>
      <c r="K4">
        <v>0.95099999999999996</v>
      </c>
      <c r="L4">
        <v>1.032</v>
      </c>
      <c r="N4">
        <v>3.3E-3</v>
      </c>
      <c r="O4">
        <f t="shared" si="0"/>
        <v>1.0531914893617021E-2</v>
      </c>
    </row>
    <row r="5" spans="1:15">
      <c r="A5">
        <v>45</v>
      </c>
      <c r="B5">
        <v>0.19500000000000001</v>
      </c>
      <c r="C5">
        <v>0.34100000000000003</v>
      </c>
      <c r="D5">
        <v>0.46100000000000002</v>
      </c>
      <c r="E5">
        <v>0.57799999999999996</v>
      </c>
      <c r="F5">
        <v>0.68899999999999995</v>
      </c>
      <c r="G5">
        <v>0.79500000000000004</v>
      </c>
      <c r="H5">
        <v>0.89500000000000002</v>
      </c>
      <c r="I5">
        <v>0.98899999999999999</v>
      </c>
      <c r="J5">
        <v>1.077</v>
      </c>
      <c r="K5">
        <v>1.1599999999999999</v>
      </c>
      <c r="L5">
        <v>1.2370000000000001</v>
      </c>
      <c r="N5">
        <v>3.3999999999999998E-3</v>
      </c>
      <c r="O5">
        <f t="shared" si="0"/>
        <v>1.0851063829787233E-2</v>
      </c>
    </row>
    <row r="6" spans="1:15">
      <c r="A6">
        <v>55</v>
      </c>
      <c r="B6">
        <v>0.08</v>
      </c>
      <c r="C6">
        <v>0.19900000000000001</v>
      </c>
      <c r="D6">
        <v>0.32400000000000001</v>
      </c>
      <c r="E6">
        <v>0.438</v>
      </c>
      <c r="F6">
        <v>0.54800000000000004</v>
      </c>
      <c r="G6">
        <v>0.65100000000000002</v>
      </c>
      <c r="H6">
        <v>0.746</v>
      </c>
      <c r="I6">
        <v>0.83699999999999997</v>
      </c>
      <c r="J6">
        <v>0.92200000000000004</v>
      </c>
      <c r="K6">
        <v>1.002</v>
      </c>
      <c r="L6">
        <v>1.0760000000000001</v>
      </c>
      <c r="N6">
        <v>3.3E-3</v>
      </c>
      <c r="O6">
        <f t="shared" si="0"/>
        <v>1.0531914893617021E-2</v>
      </c>
    </row>
    <row r="7" spans="1:15">
      <c r="A7">
        <v>65</v>
      </c>
      <c r="B7">
        <v>5.5E-2</v>
      </c>
      <c r="C7">
        <v>0.159</v>
      </c>
      <c r="D7">
        <v>0.26200000000000001</v>
      </c>
      <c r="E7">
        <v>0.35899999999999999</v>
      </c>
      <c r="F7">
        <v>0.45100000000000001</v>
      </c>
      <c r="G7">
        <v>0.53200000000000003</v>
      </c>
      <c r="H7">
        <v>0.61399999999999999</v>
      </c>
      <c r="I7">
        <v>0.69599999999999995</v>
      </c>
      <c r="J7">
        <v>0.76400000000000001</v>
      </c>
      <c r="K7">
        <v>0.83399999999999996</v>
      </c>
      <c r="L7">
        <v>0.90200000000000002</v>
      </c>
      <c r="N7">
        <v>2.7000000000000001E-3</v>
      </c>
      <c r="O7">
        <f t="shared" si="0"/>
        <v>8.6170212765957453E-3</v>
      </c>
    </row>
    <row r="8" spans="1:15">
      <c r="A8">
        <v>75</v>
      </c>
      <c r="B8">
        <v>6.0000000000000001E-3</v>
      </c>
      <c r="C8">
        <v>8.9999999999999993E-3</v>
      </c>
      <c r="D8">
        <v>1.0999999999999999E-2</v>
      </c>
      <c r="E8">
        <v>1.4E-2</v>
      </c>
      <c r="F8">
        <v>1.7000000000000001E-2</v>
      </c>
      <c r="G8">
        <v>0.02</v>
      </c>
      <c r="H8">
        <v>2.3E-2</v>
      </c>
      <c r="I8">
        <v>2.5000000000000001E-2</v>
      </c>
      <c r="J8">
        <v>2.8000000000000001E-2</v>
      </c>
      <c r="K8">
        <v>0.03</v>
      </c>
      <c r="L8">
        <v>3.3000000000000002E-2</v>
      </c>
      <c r="N8">
        <v>9.0000000000000006E-5</v>
      </c>
      <c r="O8">
        <f t="shared" si="0"/>
        <v>2.8723404255319147E-4</v>
      </c>
    </row>
    <row r="12" spans="1:15">
      <c r="A12" t="s">
        <v>3</v>
      </c>
    </row>
    <row r="13" spans="1:15">
      <c r="A13">
        <v>15</v>
      </c>
      <c r="B13">
        <v>0.03</v>
      </c>
      <c r="C13">
        <v>7.4999999999999997E-2</v>
      </c>
      <c r="D13">
        <v>0.13500000000000001</v>
      </c>
      <c r="E13">
        <v>0.20200000000000001</v>
      </c>
      <c r="F13">
        <v>0.27400000000000002</v>
      </c>
      <c r="G13">
        <v>0.35</v>
      </c>
      <c r="H13">
        <v>0.42899999999999999</v>
      </c>
      <c r="I13">
        <v>0.51</v>
      </c>
      <c r="J13">
        <v>0.59099999999999997</v>
      </c>
      <c r="K13">
        <v>0.67200000000000004</v>
      </c>
      <c r="L13">
        <v>0.752</v>
      </c>
      <c r="N13">
        <v>2.5000000000000001E-3</v>
      </c>
      <c r="O13">
        <f>N13*60/18.8</f>
        <v>7.9787234042553185E-3</v>
      </c>
    </row>
    <row r="14" spans="1:15">
      <c r="A14">
        <v>25</v>
      </c>
      <c r="B14">
        <v>3.5000000000000003E-2</v>
      </c>
      <c r="C14">
        <v>0.10199999999999999</v>
      </c>
      <c r="D14">
        <v>0.19500000000000001</v>
      </c>
      <c r="E14">
        <v>0.28899999999999998</v>
      </c>
      <c r="F14">
        <v>0.38700000000000001</v>
      </c>
      <c r="G14">
        <v>0.48799999999999999</v>
      </c>
      <c r="H14">
        <v>0.58699999999999997</v>
      </c>
      <c r="I14">
        <v>0.68500000000000005</v>
      </c>
      <c r="J14">
        <v>0.78100000000000003</v>
      </c>
      <c r="K14">
        <v>0.873</v>
      </c>
      <c r="L14">
        <v>0.96199999999999997</v>
      </c>
      <c r="N14">
        <v>3.2000000000000002E-3</v>
      </c>
      <c r="O14">
        <f t="shared" ref="O14:O19" si="1">N14*60/18.8</f>
        <v>1.0212765957446808E-2</v>
      </c>
    </row>
    <row r="15" spans="1:15">
      <c r="A15">
        <v>35</v>
      </c>
      <c r="B15">
        <v>0.05</v>
      </c>
      <c r="C15">
        <v>0.152</v>
      </c>
      <c r="D15">
        <v>0.27100000000000002</v>
      </c>
      <c r="E15">
        <v>0.39300000000000002</v>
      </c>
      <c r="F15">
        <v>0.51400000000000001</v>
      </c>
      <c r="G15">
        <v>0.63100000000000001</v>
      </c>
      <c r="H15">
        <v>0.74399999999999999</v>
      </c>
      <c r="I15">
        <v>0.85199999999999998</v>
      </c>
      <c r="J15">
        <v>0.95399999999999996</v>
      </c>
      <c r="K15">
        <v>1.05</v>
      </c>
      <c r="L15">
        <v>1.1399999999999999</v>
      </c>
      <c r="N15">
        <v>3.7000000000000002E-3</v>
      </c>
      <c r="O15">
        <f t="shared" si="1"/>
        <v>1.1808510638297872E-2</v>
      </c>
    </row>
    <row r="16" spans="1:15">
      <c r="A16">
        <v>45</v>
      </c>
      <c r="B16">
        <v>5.3999999999999999E-2</v>
      </c>
      <c r="C16">
        <v>0.17499999999999999</v>
      </c>
      <c r="D16">
        <v>0.318</v>
      </c>
      <c r="E16">
        <v>0.45700000000000002</v>
      </c>
      <c r="F16">
        <v>0.59099999999999997</v>
      </c>
      <c r="G16">
        <v>0.71699999999999997</v>
      </c>
      <c r="H16">
        <v>0.83399999999999996</v>
      </c>
      <c r="I16">
        <v>0.94399999999999995</v>
      </c>
      <c r="J16">
        <v>1.046</v>
      </c>
      <c r="K16">
        <v>1.141</v>
      </c>
      <c r="L16">
        <v>1.228</v>
      </c>
      <c r="N16">
        <v>4.0000000000000001E-3</v>
      </c>
      <c r="O16">
        <f t="shared" si="1"/>
        <v>1.276595744680851E-2</v>
      </c>
    </row>
    <row r="17" spans="1:15">
      <c r="A17">
        <v>55</v>
      </c>
      <c r="B17">
        <v>5.7000000000000002E-2</v>
      </c>
      <c r="C17">
        <v>0.20100000000000001</v>
      </c>
      <c r="D17">
        <v>0.35599999999999998</v>
      </c>
      <c r="E17">
        <v>0.52600000000000002</v>
      </c>
      <c r="F17">
        <v>0.67300000000000004</v>
      </c>
      <c r="G17">
        <v>0.80900000000000005</v>
      </c>
      <c r="H17">
        <v>0.93500000000000005</v>
      </c>
      <c r="I17">
        <v>1.0509999999999999</v>
      </c>
      <c r="J17">
        <v>1.157</v>
      </c>
      <c r="K17">
        <v>1.2529999999999999</v>
      </c>
      <c r="L17">
        <v>1.3420000000000001</v>
      </c>
      <c r="N17">
        <v>4.3E-3</v>
      </c>
      <c r="O17">
        <f t="shared" si="1"/>
        <v>1.3723404255319149E-2</v>
      </c>
    </row>
    <row r="18" spans="1:15">
      <c r="A18">
        <v>65</v>
      </c>
      <c r="B18">
        <v>6.8000000000000005E-2</v>
      </c>
      <c r="C18">
        <v>0.26600000000000001</v>
      </c>
      <c r="D18">
        <v>0.45800000000000002</v>
      </c>
      <c r="E18">
        <v>0.628</v>
      </c>
      <c r="F18">
        <v>0.79100000000000004</v>
      </c>
      <c r="G18">
        <v>0.93300000000000005</v>
      </c>
      <c r="H18">
        <v>1.0609999999999999</v>
      </c>
      <c r="I18">
        <v>1.1759999999999999</v>
      </c>
      <c r="J18">
        <v>1.272</v>
      </c>
      <c r="K18">
        <v>1.3720000000000001</v>
      </c>
      <c r="L18">
        <v>1.454</v>
      </c>
      <c r="N18">
        <v>4.5999999999999999E-3</v>
      </c>
      <c r="O18">
        <f t="shared" si="1"/>
        <v>1.4680851063829789E-2</v>
      </c>
    </row>
    <row r="19" spans="1:15">
      <c r="A19">
        <v>75</v>
      </c>
      <c r="B19">
        <v>7.5999999999999998E-2</v>
      </c>
      <c r="C19">
        <v>0.30399999999999999</v>
      </c>
      <c r="D19">
        <v>0.495</v>
      </c>
      <c r="E19">
        <v>0.67700000000000005</v>
      </c>
      <c r="F19">
        <v>0.83899999999999997</v>
      </c>
      <c r="G19" s="1">
        <v>0.98199999999999998</v>
      </c>
      <c r="H19">
        <v>1.1080000000000001</v>
      </c>
      <c r="I19">
        <v>1.218</v>
      </c>
      <c r="J19">
        <v>1.3160000000000001</v>
      </c>
      <c r="K19">
        <v>1.4019999999999999</v>
      </c>
      <c r="L19">
        <v>1.4750000000000001</v>
      </c>
      <c r="N19">
        <v>4.5999999999999999E-3</v>
      </c>
      <c r="O19">
        <f t="shared" si="1"/>
        <v>1.4680851063829789E-2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施宇柔</dc:creator>
  <cp:keywords/>
  <dc:description/>
  <cp:lastModifiedBy/>
  <cp:revision/>
  <dcterms:created xsi:type="dcterms:W3CDTF">2015-06-05T18:19:34Z</dcterms:created>
  <dcterms:modified xsi:type="dcterms:W3CDTF">2026-05-06T14:48:53Z</dcterms:modified>
  <cp:category/>
  <cp:contentStatus/>
</cp:coreProperties>
</file>